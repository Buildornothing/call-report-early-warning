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tables/table5.xml" ContentType="application/vnd.openxmlformats-officedocument.spreadsheetml.table+xml"/>
  <Override PartName="/xl/worksheets/sheet12.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tables/table6.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2ec12744de64d0c" /></Relationships>
</file>

<file path=xl/workbook.xml><?xml version="1.0" encoding="utf-8"?>
<x:workbook xmlns:x="http://schemas.openxmlformats.org/spreadsheetml/2006/main">
  <x:sheets>
    <x:sheet xmlns:r="http://schemas.openxmlformats.org/officeDocument/2006/relationships" name="Purpose &amp; Endeavor Link" sheetId="1" r:id="R8e467e260d124ad8"/>
    <x:sheet xmlns:r="http://schemas.openxmlformats.org/officeDocument/2006/relationships" name="Executive Summary" sheetId="2" r:id="R2e95fb2f8b2c4988"/>
    <x:sheet xmlns:r="http://schemas.openxmlformats.org/officeDocument/2006/relationships" name="Robustness Check" sheetId="3" r:id="R02da1686874d40b0"/>
    <x:sheet xmlns:r="http://schemas.openxmlformats.org/officeDocument/2006/relationships" name="Review Findings" sheetId="4" r:id="R410b9bb72079406d"/>
    <x:sheet xmlns:r="http://schemas.openxmlformats.org/officeDocument/2006/relationships" name="Validation Roadmap" sheetId="5" r:id="R10790eb1b12f48fb"/>
    <x:sheet xmlns:r="http://schemas.openxmlformats.org/officeDocument/2006/relationships" name="Milestones" sheetId="6" r:id="R8b8c577a661043fd"/>
    <x:sheet xmlns:r="http://schemas.openxmlformats.org/officeDocument/2006/relationships" name="Failed Bank Profiles" sheetId="7" r:id="R4aee0d79f8114b21"/>
    <x:sheet xmlns:r="http://schemas.openxmlformats.org/officeDocument/2006/relationships" name="Signal Comparison" sheetId="8" r:id="R4daef21afa0446cd"/>
    <x:sheet xmlns:r="http://schemas.openxmlformats.org/officeDocument/2006/relationships" name="Cohort Summary" sheetId="9" r:id="Rb0d51e9de4354b7c"/>
    <x:sheet xmlns:r="http://schemas.openxmlformats.org/officeDocument/2006/relationships" name="Peer Metrics" sheetId="10" r:id="R4365f55ec57545a1"/>
    <x:sheet xmlns:r="http://schemas.openxmlformats.org/officeDocument/2006/relationships" name="Weight Sensitivity" sheetId="11" r:id="Rb67fd37bb0614932"/>
    <x:sheet xmlns:r="http://schemas.openxmlformats.org/officeDocument/2006/relationships" name="Macro Context" sheetId="12" r:id="Rb30363fdcdf548a5"/>
    <x:sheet xmlns:r="http://schemas.openxmlformats.org/officeDocument/2006/relationships" name="Methodology" sheetId="13" r:id="Rcb28d4b0078a45c4"/>
    <x:sheet xmlns:r="http://schemas.openxmlformats.org/officeDocument/2006/relationships" name="Sources" sheetId="14" r:id="Ra3b49442ce524a53"/>
  </x:sheets>
</x:workbook>
</file>

<file path=xl/sharedStrings.xml><?xml version="1.0" encoding="utf-8"?>
<x:sst xmlns:x="http://schemas.openxmlformats.org/spreadsheetml/2006/main">
  <x:si>
    <x:t xml:space="preserve">Purpose of This Workbook</x:t>
  </x:si>
  <x:si>
    <x:t xml:space="preserve">Preliminary research by Anjola Odunaike, built only from public data, supporting the proposed endeavor.</x:t>
  </x:si>
  <x:si>
    <x:t xml:space="preserve">The proposed endeavor</x:t>
  </x:si>
  <x:si>
    <x:t xml:space="preserve">Develop, validate, and disseminate a transferable, integrated stress-testing and early-warning methodology that measures how interest-rate, liquidity, and credit risks interact across bank balance sheets, using publicly available bank-level regulatory data (including FFIEC Call Reports) together with macroeconomic and market data, to help U.S. regional and midsize banks protect capital and liquidity and preserve lending capacity before or as financial stress intensifies.</x:t>
  </x:si>
  <x:si>
    <x:t xml:space="preserve">What this workbook shows</x:t>
  </x:si>
  <x:si>
    <x:t xml:space="preserve">How this relates to the national interest waiver (Matter of Dhanasar)</x:t>
  </x:si>
  <x:si>
    <x:t xml:space="preserve">Reproducibility checklist (complete before using as an exhibit)</x:t>
  </x:si>
  <x:si>
    <x:t xml:space="preserve">Item</x:t>
  </x:si>
  <x:si>
    <x:t xml:space="preserve">Status</x:t>
  </x:si>
  <x:si>
    <x:t xml:space="preserve">Action</x:t>
  </x:si>
  <x:si>
    <x:t xml:space="preserve">Evidence it creates</x:t>
  </x:si>
  <x:si>
    <x:t xml:space="preserve">Preliminary Call Report Early-Warning Analysis</x:t>
  </x:si>
  <x:si>
    <x:t xml:space="preserve">Exploratory 2022Q4 cross-section linked to FDIC-recorded 2023 failures. The trigger specification is an in-sample research hypothesis, not a validated prediction model.</x:t>
  </x:si>
  <x:si>
    <x:t xml:space="preserve">Scope and reproducible controls</x:t>
  </x:si>
  <x:si>
    <x:t xml:space="preserve">Historical diagnostic result</x:t>
  </x:si>
  <x:si>
    <x:t xml:space="preserve">Report date</x:t>
  </x:si>
  <x:si>
    <x:t xml:space="preserve">December 31, 2022</x:t>
  </x:si>
  <x:si>
    <x:t xml:space="preserve">Trigger score failures in top decile</x:t>
  </x:si>
  <x:si>
    <x:t xml:space="preserve">Asset band</x:t>
  </x:si>
  <x:si>
    <x:t xml:space="preserve">$10bn to $250bn</x:t>
  </x:si>
  <x:si>
    <x:t xml:space="preserve">Baseline score failures in top decile</x:t>
  </x:si>
  <x:si>
    <x:t xml:space="preserve">Peer banks</x:t>
  </x:si>
  <x:si>
    <x:t xml:space="preserve">Median trigger score, failed banks</x:t>
  </x:si>
  <x:si>
    <x:t xml:space="preserve">2023 failures in band</x:t>
  </x:si>
  <x:si>
    <x:t xml:space="preserve">Median trigger score, other peers</x:t>
  </x:si>
  <x:si>
    <x:t xml:space="preserve">Top-decile cutoff</x:t>
  </x:si>
  <x:si>
    <x:t xml:space="preserve">2022Q4 average effective fed funds rate</x:t>
  </x:si>
  <x:si>
    <x:t xml:space="preserve">Interpretation</x:t>
  </x:si>
  <x:si>
    <x:t xml:space="preserve">Required caution</x:t>
  </x:si>
  <x:si>
    <x:t xml:space="preserve">Validation Roadmap</x:t>
  </x:si>
  <x:si>
    <x:t xml:space="preserve">Pre-stated tests the methodology must pass. Success criteria are set before results are known. Data: FFIEC Call Reports / FDIC BankFind (bank level), FDIC failure list, FRED (rates and macro).</x:t>
  </x:si>
  <x:si>
    <x:t xml:space="preserve">Milestones, Q4 2026 to 2029</x:t>
  </x:si>
  <x:si>
    <x:t xml:space="preserve">Work is carried out alongside full-time risk-modeling employment at U.S. financial institutions, using public data only. Each milestone produces a dated, verifiable output. Venues are targets; confirm calls for papers and dates.</x:t>
  </x:si>
  <x:si>
    <x:t xml:space="preserve">Phase</x:t>
  </x:si>
  <x:si>
    <x:t xml:space="preserve">Target date</x:t>
  </x:si>
  <x:si>
    <x:t xml:space="preserve">Milestone</x:t>
  </x:si>
  <x:si>
    <x:t xml:space="preserve">Deliverable</x:t>
  </x:si>
  <x:si>
    <x:t xml:space="preserve">Verifiable evidence</x:t>
  </x:si>
  <x:si>
    <x:t xml:space="preserve">3. Tools</x:t>
  </x:si>
  <x:si>
    <x:t xml:space="preserve">Q4 2028</x:t>
  </x:si>
  <x:si>
    <x:t xml:space="preserve">Publish validation protocol aligned with model risk management guidance (SR 11-7)</x:t>
  </x:si>
  <x:si>
    <x:t xml:space="preserve">Protocol document</x:t>
  </x:si>
  <x:si>
    <x:t xml:space="preserve">Public release</x:t>
  </x:si>
  <x:si>
    <x:t xml:space="preserve">Planned</x:t>
  </x:si>
  <x:si>
    <x:t xml:space="preserve">4. Training and upkeep</x:t>
  </x:si>
  <x:si>
    <x:t xml:space="preserve">2029</x:t>
  </x:si>
  <x:si>
    <x:t xml:space="preserve">Training workshops or webinars for regional and community bank risk staff</x:t>
  </x:si>
  <x:si>
    <x:t xml:space="preserve">Training materials</x:t>
  </x:si>
  <x:si>
    <x:t xml:space="preserve">Session records; participant feedback</x:t>
  </x:si>
  <x:si>
    <x:t xml:space="preserve">Annually from 2028</x:t>
  </x:si>
  <x:si>
    <x:t xml:space="preserve">Refresh with each year-end Call Report cycle; compare with published Federal Reserve models (T7)</x:t>
  </x:si>
  <x:si>
    <x:t xml:space="preserve">Annual update note</x:t>
  </x:si>
  <x:si>
    <x:t xml:space="preserve">Dated releases</x:t>
  </x:si>
  <x:si>
    <x:t xml:space="preserve">Status cells (blue) are for Anjola to update as milestones are completed.</x:t>
  </x:si>
  <x:si>
    <x:t xml:space="preserve">Historical Profiles of In-Band 2023 Failures</x:t>
  </x:si>
  <x:si>
    <x:t xml:space="preserve">Values are based on December 31, 2022 public regulatory data. Percentile scores range from 0 to 100 after display formatting.</x:t>
  </x:si>
  <x:si>
    <x:t xml:space="preserve">Failed-Bank and Peer Cohort Summary</x:t>
  </x:si>
  <x:si>
    <x:t xml:space="preserve">Descriptive statistics only. The failed cohort contains three institutions in the selected asset band.</x:t>
  </x:si>
  <x:si>
    <x:t xml:space="preserve">Weight Sensitivity for the Three Historical Failures</x:t>
  </x:si>
  <x:si>
    <x:t xml:space="preserve">Alternative weights illustrate specification sensitivity. They do not constitute independent validation.</x:t>
  </x:si>
  <x:si>
    <x:t xml:space="preserve">Quarterly Interest-Rate Context</x:t>
  </x:si>
  <x:si>
    <x:t xml:space="preserve">Daily FRED observations averaged by quarter. These series provide context and are not yet direct inputs to the cross-sectional score.</x:t>
  </x:si>
  <x:si>
    <x:t xml:space="preserve">Methodology and Validation Guardrails</x:t>
  </x:si>
  <x:si>
    <x:t xml:space="preserve">Transparent proxy definitions and limitations for the exploratory prototype.</x:t>
  </x:si>
  <x:si>
    <x:t xml:space="preserve">Dimension</x:t>
  </x:si>
  <x:si>
    <x:t xml:space="preserve">Measure</x:t>
  </x:si>
  <x:si>
    <x:t xml:space="preserve">Formula / construction</x:t>
  </x:si>
  <x:si>
    <x:t xml:space="preserve">Research interpretation</x:t>
  </x:si>
  <x:si>
    <x:t xml:space="preserve">Interest-rate</x:t>
  </x:si>
  <x:si>
    <x:t xml:space="preserve">Securities concentration</x:t>
  </x:si>
  <x:si>
    <x:t xml:space="preserve">Securities / total assets</x:t>
  </x:si>
  <x:si>
    <x:t xml:space="preserve">Higher values may indicate greater exposure to securities valuation changes.</x:t>
  </x:si>
  <x:si>
    <x:t xml:space="preserve">Securities MTM gap</x:t>
  </x:si>
  <x:si>
    <x:t xml:space="preserve">max(securities book amount - market value, 0) / equity</x:t>
  </x:si>
  <x:si>
    <x:t xml:space="preserve">Proxy for a valuation gap relative to the equity buffer, not a duration model.</x:t>
  </x:si>
  <x:si>
    <x:t xml:space="preserve">Funding/liquidity</x:t>
  </x:si>
  <x:si>
    <x:t xml:space="preserve">Uninsured-deposit concentration</x:t>
  </x:si>
  <x:si>
    <x:t xml:space="preserve">Estimated uninsured deposits / total deposits</x:t>
  </x:si>
  <x:si>
    <x:t xml:space="preserve">Higher values may indicate less stable funding concentration.</x:t>
  </x:si>
  <x:si>
    <x:t xml:space="preserve">Cash buffer</x:t>
  </x:si>
  <x:si>
    <x:t xml:space="preserve">Cash and due from depository institutions / total assets</x:t>
  </x:si>
  <x:si>
    <x:t xml:space="preserve">Lower values indicate less immediately available on-balance-sheet cash.</x:t>
  </x:si>
  <x:si>
    <x:t xml:space="preserve">Credit</x:t>
  </x:si>
  <x:si>
    <x:t xml:space="preserve">Noncurrent loans</x:t>
  </x:si>
  <x:si>
    <x:t xml:space="preserve">(nonaccrual + 90-day past due loans) / gross loans</x:t>
  </x:si>
  <x:si>
    <x:t xml:space="preserve">Higher values indicate realized credit deterioration.</x:t>
  </x:si>
  <x:si>
    <x:t xml:space="preserve">Early delinquency</x:t>
  </x:si>
  <x:si>
    <x:t xml:space="preserve">30-89 day past due loans / gross loans</x:t>
  </x:si>
  <x:si>
    <x:t xml:space="preserve">Higher values indicate emerging credit stress.</x:t>
  </x:si>
  <x:si>
    <x:t xml:space="preserve">Capital</x:t>
  </x:si>
  <x:si>
    <x:t xml:space="preserve">Equity ratio</x:t>
  </x:si>
  <x:si>
    <x:t xml:space="preserve">Equity / total assets</x:t>
  </x:si>
  <x:si>
    <x:t xml:space="preserve">Lower values indicate a smaller accounting capital buffer.</x:t>
  </x:si>
  <x:si>
    <x:t xml:space="preserve">Interaction</x:t>
  </x:si>
  <x:si>
    <x:t xml:space="preserve">Rate-funding interaction</x:t>
  </x:si>
  <x:si>
    <x:t xml:space="preserve">square root(rate score x funding score)</x:t>
  </x:si>
  <x:si>
    <x:t xml:space="preserve">Increases when both rate and funding vulnerability are elevated.</x:t>
  </x:si>
  <x:si>
    <x:t xml:space="preserve">Trigger</x:t>
  </x:si>
  <x:si>
    <x:t xml:space="preserve">Dominant-risk trigger</x:t>
  </x:si>
  <x:si>
    <x:t xml:space="preserve">max(MTM-gap percentile, uninsured-deposit percentile)</x:t>
  </x:si>
  <x:si>
    <x:t xml:space="preserve">Prevents an extreme funding or valuation signal from being averaged away.</x:t>
  </x:si>
  <x:si>
    <x:t xml:space="preserve">Composite</x:t>
  </x:si>
  <x:si>
    <x:t xml:space="preserve">Trigger-augmented score</x:t>
  </x:si>
  <x:si>
    <x:t xml:space="preserve">15% rate + 25% funding + 5% credit + 5% capital + 20% interaction + 30% trigger</x:t>
  </x:si>
  <x:si>
    <x:t xml:space="preserve">Limitations that must remain visible</x:t>
  </x:si>
  <x:si>
    <x:t xml:space="preserve">Only one pre-failure cross-section and three failures in the selected asset band are evaluated.</x:t>
  </x:si>
  <x:si>
    <x:t xml:space="preserve">Weights are transparent hypotheses, not statistically estimated coefficients.</x:t>
  </x:si>
  <x:si>
    <x:t xml:space="preserve">The dominant-risk trigger was specified after diagnostic review of the 2023 episode and is not out-of-sample evidence.</x:t>
  </x:si>
  <x:si>
    <x:t xml:space="preserve">Securities market-value gap is a proxy and is not a full economic-value-of-equity or duration model.</x:t>
  </x:si>
  <x:si>
    <x:t xml:space="preserve">Public Call Report fields do not capture deposit speed, intraday liquidity, or every off-balance-sheet exposure.</x:t>
  </x:si>
  <x:si>
    <x:t xml:space="preserve">Top-decile capture is descriptive and does not establish causation or out-of-sample predictive accuracy.</x:t>
  </x:si>
  <x:si>
    <x:t xml:space="preserve">Source Provenance</x:t>
  </x:si>
  <x:si>
    <x:t xml:space="preserve">Public sources and local cached files used for this dated analysis.</x:t>
  </x:si>
</x:sst>
</file>

<file path=xl/styles.xml><?xml version="1.0" encoding="utf-8"?>
<x:styleSheet xmlns:x="http://schemas.openxmlformats.org/spreadsheetml/2006/main">
  <x:numFmts count="9">
    <x:numFmt numFmtId="164" formatCode="General"/>
    <x:numFmt numFmtId="165" formatCode="0"/>
    <x:numFmt numFmtId="166" formatCode="0.0"/>
    <x:numFmt numFmtId="167" formatCode="0.000%"/>
    <x:numFmt numFmtId="168" formatCode="General"/>
    <x:numFmt numFmtId="169" formatCode="0%"/>
    <x:numFmt numFmtId="170" formatCode="0.0%"/>
    <x:numFmt numFmtId="171" formatCode="0.00%"/>
    <x:numFmt numFmtId="172" formatCode="0.000"/>
  </x:numFmts>
  <x:fonts count="27">
    <x:font>
      <x:sz val="10"/>
      <x:name val="Arial"/>
      <x:family val="2"/>
    </x:font>
    <x:font>
      <x:sz val="10"/>
      <x:name val="Arial"/>
    </x:font>
    <x:font>
      <x:sz val="10"/>
      <x:name val="Arial"/>
    </x:font>
    <x:font>
      <x:sz val="10"/>
      <x:name val="Arial"/>
    </x:font>
    <x:font>
      <x:sz val="11"/>
      <x:name val="Calibri"/>
    </x:font>
    <x:font>
      <x:b/>
      <x:sz val="18"/>
      <x:color rgb="FFFFFFFF"/>
      <x:name val="Arial"/>
    </x:font>
    <x:font>
      <x:sz val="10"/>
      <x:color rgb="FF17365D"/>
      <x:name val="Arial"/>
    </x:font>
    <x:font>
      <x:b/>
      <x:sz val="11"/>
      <x:color rgb="FF17365D"/>
      <x:name val="Arial"/>
    </x:font>
    <x:font>
      <x:sz val="10"/>
      <x:color rgb="FF222222"/>
      <x:name val="Arial"/>
    </x:font>
    <x:font>
      <x:b/>
      <x:sz val="10"/>
      <x:color rgb="FF17365D"/>
      <x:name val="Arial"/>
    </x:font>
    <x:font>
      <x:b/>
      <x:sz val="10"/>
      <x:color rgb="FFFFFFFF"/>
      <x:name val="Arial"/>
    </x:font>
    <x:font>
      <x:i/>
      <x:sz val="10"/>
      <x:color rgb="FF17365D"/>
      <x:name val="Arial"/>
    </x:font>
    <x:font>
      <x:sz val="11"/>
      <x:color rgb="FF234F1E"/>
      <x:name val="Arial"/>
    </x:font>
    <x:font>
      <x:b/>
      <x:sz val="11"/>
      <x:color rgb="FFB23A48"/>
      <x:name val="Arial"/>
    </x:font>
    <x:font>
      <x:sz val="10"/>
      <x:color rgb="FF0000FF"/>
      <x:name val="Arial"/>
    </x:font>
    <x:font>
      <x:sz val="10"/>
      <x:color rgb="FF008000"/>
      <x:name val="Arial"/>
    </x:font>
    <x:font>
      <x:b/>
      <x:sz val="10"/>
      <x:color rgb="FFB23A48"/>
      <x:name val="Arial"/>
    </x:font>
    <x:font>
      <x:b/>
      <x:sz val="18"/>
      <x:color rgb="FF000000"/>
      <x:name val="Arial"/>
      <x:family val="2"/>
    </x:font>
    <x:font>
      <x:sz val="6.75"/>
      <x:color rgb="FF000000"/>
      <x:name val="Arial"/>
      <x:family val="2"/>
    </x:font>
    <x:font>
      <x:sz val="10"/>
      <x:color rgb="FF000000"/>
      <x:name val="Arial"/>
      <x:family val="2"/>
    </x:font>
    <x:font>
      <x:b/>
      <x:sz val="10"/>
      <x:color rgb="FFFFFFFF"/>
      <x:name val="Arial"/>
      <x:family val="2"/>
    </x:font>
    <x:font>
      <x:sz val="10"/>
      <x:color rgb="FF222222"/>
      <x:name val="Arial"/>
      <x:family val="2"/>
    </x:font>
    <x:font>
      <x:b/>
      <x:sz val="10"/>
      <x:color rgb="FF17365D"/>
      <x:name val="Arial"/>
      <x:family val="2"/>
    </x:font>
    <x:font>
      <x:sz val="10"/>
      <x:color rgb="FF2F75B5"/>
      <x:name val="Arial"/>
    </x:font>
    <x:font>
      <x:sz val="10"/>
      <x:color rgb="FF27632A"/>
      <x:name val="Arial"/>
    </x:font>
    <x:font>
      <x:b/>
      <x:sz val="10"/>
      <x:color rgb="FFC23B44"/>
      <x:name val="Arial"/>
    </x:font>
    <x:font>
      <x:b/>
      <x:sz val="10"/>
      <x:color rgb="FF27632A"/>
      <x:name val="Arial"/>
    </x:font>
  </x:fonts>
  <x:fills count="13">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FCE4D6"/>
      </x:patternFill>
    </x:fill>
    <x:fill>
      <x:patternFill patternType="solid">
        <x:fgColor rgb="FFFFFF00"/>
      </x:patternFill>
    </x:fill>
    <x:fill>
      <x:patternFill patternType="solid">
        <x:fgColor rgb="FF2F75B5"/>
      </x:patternFill>
    </x:fill>
    <x:fill>
      <x:patternFill patternType="solid">
        <x:fgColor rgb="FFD9EAF7"/>
      </x:patternFill>
    </x:fill>
    <x:fill>
      <x:patternFill patternType="solid">
        <x:fgColor rgb="FFFFFFFF"/>
      </x:patternFill>
    </x:fill>
    <x:fill>
      <x:patternFill patternType="solid">
        <x:fgColor rgb="FFE2F0D9"/>
      </x:patternFill>
    </x:fill>
  </x:fills>
  <x:borders count="19">
    <x:border diagonalUp="0" diagonalDown="0">
      <x:left/>
      <x:right/>
      <x:top/>
      <x:bottom/>
      <x:diagonal/>
    </x:border>
    <x:border diagonalUp="0" diagonalDown="0">
      <x:left style="thin">
        <x:color rgb="FFBFBFBF"/>
      </x:left>
      <x:right style="thin">
        <x:color rgb="FFBFBFBF"/>
      </x:right>
      <x:top style="thin">
        <x:color rgb="FFBFBFBF"/>
      </x:top>
      <x:bottom style="thin">
        <x:color rgb="FFBFBFBF"/>
      </x:bottom>
      <x:diagonal/>
    </x:border>
    <x:border diagonalUp="0" diagonalDown="0">
      <x:left style="thin">
        <x:color rgb="FF9EADBA"/>
      </x:left>
      <x:right style="thin">
        <x:color rgb="FF9EADBA"/>
      </x:right>
      <x:top style="thin">
        <x:color rgb="FF9EADBA"/>
      </x:top>
      <x:bottom style="thin">
        <x:color rgb="FF9EADBA"/>
      </x:bottom>
      <x:diagonal/>
    </x:border>
    <x:border diagonalUp="0" diagonalDown="0">
      <x:left style="thin">
        <x:color rgb="FFE7E6E6"/>
      </x:left>
      <x:right style="thin">
        <x:color rgb="FFE7E6E6"/>
      </x:right>
      <x:top style="thin">
        <x:color rgb="FFE7E6E6"/>
      </x:top>
      <x:bottom style="thin">
        <x:color rgb="FFE7E6E6"/>
      </x:bottom>
      <x:diagonal/>
    </x:border>
    <x:border diagonalUp="0" diagonalDown="0">
      <x:left style="thin">
        <x:color rgb="FF2F6B5E"/>
      </x:left>
      <x:right style="thin">
        <x:color rgb="FF2F6B5E"/>
      </x:right>
      <x:top style="thin">
        <x:color rgb="FF2F6B5E"/>
      </x:top>
      <x:bottom style="thin">
        <x:color rgb="FF2F6B5E"/>
      </x:bottom>
      <x:diagonal/>
    </x:border>
    <x:border diagonalUp="0" diagonalDown="0">
      <x:left style="thin">
        <x:color rgb="FFB23A48"/>
      </x:left>
      <x:right style="thin">
        <x:color rgb="FFB23A48"/>
      </x:right>
      <x:top style="thin">
        <x:color rgb="FFB23A48"/>
      </x:top>
      <x:bottom style="thin">
        <x:color rgb="FFB23A48"/>
      </x:bottom>
      <x:diagonal/>
    </x:border>
    <x:border diagonalUp="0" diagonalDown="0">
      <x:left style="thin">
        <x:color rgb="FFFFFFFF"/>
      </x:left>
      <x:right style="thin">
        <x:color rgb="FFFFFFFF"/>
      </x:right>
      <x:top style="thin">
        <x:color rgb="FFFFFFFF"/>
      </x:top>
      <x:bottom style="thin">
        <x:color rgb="FFFFFFFF"/>
      </x:bottom>
      <x:diagonal/>
    </x:border>
    <x:border diagonalUp="0" diagonalDown="0">
      <x:left/>
      <x:right style="thin">
        <x:color rgb="FFFFFFFF"/>
      </x:right>
      <x:top/>
      <x:bottom style="thin">
        <x:color rgb="FFFFFFFF"/>
      </x:bottom>
      <x:diagonal/>
    </x:border>
    <x:border diagonalUp="0" diagonalDown="0">
      <x:left style="thin">
        <x:color rgb="FFFFFFFF"/>
      </x:left>
      <x:right style="thin">
        <x:color rgb="FFFFFFFF"/>
      </x:right>
      <x:top/>
      <x:bottom style="thin">
        <x:color rgb="FFFFFFFF"/>
      </x:bottom>
      <x:diagonal/>
    </x:border>
    <x:border diagonalUp="0" diagonalDown="0">
      <x:left style="thin">
        <x:color rgb="FFFFFFFF"/>
      </x:left>
      <x:right/>
      <x:top/>
      <x:bottom style="thin">
        <x:color rgb="FFFFFFFF"/>
      </x:bottom>
      <x:diagonal/>
    </x:border>
    <x:border diagonalUp="0" diagonalDown="0">
      <x:left/>
      <x:right/>
      <x:top/>
      <x:bottom style="thin">
        <x:color rgb="FFD9D9D9"/>
      </x:bottom>
      <x:diagonal/>
    </x:border>
    <x:border diagonalUp="0" diagonalDown="0">
      <x:left style="thin">
        <x:color rgb="FFBFBFBF"/>
      </x:left>
      <x:right style="thin">
        <x:color rgb="FFFFFFFF"/>
      </x:right>
      <x:top style="thin">
        <x:color rgb="FFBFBFBF"/>
      </x:top>
      <x:bottom style="thin">
        <x:color rgb="FFFFFFFF"/>
      </x:bottom>
      <x:diagonal/>
    </x:border>
    <x:border diagonalUp="0" diagonalDown="0">
      <x:left style="thin">
        <x:color rgb="FFFFFFFF"/>
      </x:left>
      <x:right style="thin">
        <x:color rgb="FFFFFFFF"/>
      </x:right>
      <x:top style="thin">
        <x:color rgb="FFBFBFBF"/>
      </x:top>
      <x:bottom style="thin">
        <x:color rgb="FFFFFFFF"/>
      </x:bottom>
      <x:diagonal/>
    </x:border>
    <x:border diagonalUp="0" diagonalDown="0">
      <x:left style="thin">
        <x:color rgb="FFFFFFFF"/>
      </x:left>
      <x:right style="thin">
        <x:color rgb="FFBFBFBF"/>
      </x:right>
      <x:top style="thin">
        <x:color rgb="FFBFBFBF"/>
      </x:top>
      <x:bottom style="thin">
        <x:color rgb="FFFFFFFF"/>
      </x:bottom>
      <x:diagonal/>
    </x:border>
    <x:border diagonalUp="0" diagonalDown="0">
      <x:left style="thin">
        <x:color rgb="FFBFBFBF"/>
      </x:left>
      <x:right style="thin">
        <x:color rgb="FFBFBFBF"/>
      </x:right>
      <x:top style="thin">
        <x:color rgb="FFBFBFBF"/>
      </x:top>
      <x:bottom style="thin">
        <x:color rgb="FFD9D9D9"/>
      </x:bottom>
      <x:diagonal/>
    </x:border>
    <x:border diagonalUp="0" diagonalDown="0">
      <x:left style="thin">
        <x:color rgb="FF9EADBA"/>
      </x:left>
      <x:right/>
      <x:top style="thin">
        <x:color rgb="FF9EADBA"/>
      </x:top>
      <x:bottom style="thin">
        <x:color rgb="FF9EADBA"/>
      </x:bottom>
      <x:diagonal/>
    </x:border>
    <x:border diagonalUp="0" diagonalDown="0">
      <x:left/>
      <x:right/>
      <x:top style="thin">
        <x:color rgb="FF9EADBA"/>
      </x:top>
      <x:bottom style="thin">
        <x:color rgb="FF9EADBA"/>
      </x:bottom>
      <x:diagonal/>
    </x:border>
    <x:border diagonalUp="0" diagonalDown="0">
      <x:left/>
      <x:right style="thin">
        <x:color rgb="FF9EADBA"/>
      </x:right>
      <x:top style="thin">
        <x:color rgb="FF9EADBA"/>
      </x:top>
      <x:bottom style="thin">
        <x:color rgb="FF9EADBA"/>
      </x:bottom>
      <x:diagonal/>
    </x:border>
    <x:border diagonalUp="0" diagonalDown="0">
      <x:left style="thin">
        <x:color rgb="FFE7E6E6"/>
      </x:left>
      <x:right style="thin">
        <x:color rgb="FFE7E6E6"/>
      </x:right>
      <x:top style="thin">
        <x:color rgb="FFE7E6E6"/>
      </x:top>
      <x:bottom style="thin">
        <x:color rgb="FFD9D9D9"/>
      </x:bottom>
      <x:diagonal/>
    </x:border>
  </x:borders>
  <x:cellStyleXfs count="21">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4" fillId="0" borderId="0" applyFont="1" applyBorder="1" applyAlignment="1" applyProtection="1">
      <x:alignment horizontal="general" vertical="bottom" wrapText="0" shrinkToFit="0"/>
      <x:protection locked="1" hidden="0"/>
    </x:xf>
  </x:cellStyleXfs>
  <x:cellXfs count="135">
    <x:xf numFmtId="164" fontId="0" fillId="0" borderId="0" xfId="0" applyFont="0" applyBorder="0" applyAlignment="0" applyProtection="0">
      <x:alignment horizontal="general" vertical="bottom" wrapText="0" shrinkToFit="0"/>
      <x:protection locked="1" hidden="0"/>
    </x:xf>
    <x:xf numFmtId="164" fontId="4" fillId="0" borderId="0" xfId="20" applyFont="0" applyBorder="0" applyAlignment="0" applyProtection="0">
      <x:alignment horizontal="general" vertical="bottom" wrapText="0" shrinkToFit="0"/>
      <x:protection locked="1" hidden="0"/>
    </x:xf>
    <x:xf numFmtId="164" fontId="5" fillId="2" borderId="0" xfId="20" applyFont="1" applyBorder="1" applyAlignment="0" applyProtection="0">
      <x:alignment horizontal="general" vertical="bottom" wrapText="0" shrinkToFit="0"/>
      <x:protection locked="1" hidden="0"/>
    </x:xf>
    <x:xf numFmtId="164" fontId="6" fillId="3" borderId="0" xfId="20" applyFont="1" applyBorder="1" applyAlignment="1" applyProtection="0">
      <x:alignment horizontal="general" vertical="top" wrapText="1" shrinkToFit="0"/>
      <x:protection locked="1" hidden="0"/>
    </x:xf>
    <x:xf numFmtId="164" fontId="7" fillId="4" borderId="0" xfId="20" applyFont="1" applyBorder="1" applyAlignment="0" applyProtection="0">
      <x:alignment horizontal="general" vertical="bottom" wrapText="0" shrinkToFit="0"/>
      <x:protection locked="1" hidden="0"/>
    </x:xf>
    <x:xf numFmtId="164" fontId="8" fillId="0" borderId="0" xfId="20" applyFont="1" applyBorder="1" applyAlignment="1" applyProtection="0">
      <x:alignment horizontal="general" vertical="top" wrapText="1" shrinkToFit="0"/>
      <x:protection locked="1" hidden="0"/>
    </x:xf>
    <x:xf numFmtId="164" fontId="9" fillId="0" borderId="1" xfId="20" applyFont="1" applyBorder="1" applyAlignment="1" applyProtection="0">
      <x:alignment horizontal="general" vertical="top" wrapText="1" shrinkToFit="0"/>
      <x:protection locked="1" hidden="0"/>
    </x:xf>
    <x:xf numFmtId="164" fontId="8" fillId="0" borderId="1" xfId="20" applyFont="1" applyBorder="1" applyAlignment="1" applyProtection="0">
      <x:alignment horizontal="general" vertical="top" wrapText="1" shrinkToFit="0"/>
      <x:protection locked="1" hidden="0"/>
    </x:xf>
    <x:xf numFmtId="164" fontId="10" fillId="5" borderId="1" xfId="20" applyFont="1" applyBorder="1" applyAlignment="1" applyProtection="0">
      <x:alignment horizontal="general" vertical="top" wrapText="1" shrinkToFit="0"/>
      <x:protection locked="1" hidden="0"/>
    </x:xf>
    <x:xf numFmtId="164" fontId="5" fillId="2" borderId="0" xfId="20" applyFont="1" applyBorder="1" applyAlignment="1" applyProtection="0">
      <x:alignment horizontal="general" vertical="center" wrapText="0" shrinkToFit="0"/>
      <x:protection locked="1" hidden="0"/>
    </x:xf>
    <x:xf numFmtId="164" fontId="11" fillId="3" borderId="0" xfId="20" applyFont="1" applyBorder="1" applyAlignment="1" applyProtection="0">
      <x:alignment horizontal="general" vertical="center" wrapText="1" shrinkToFit="0"/>
      <x:protection locked="1" hidden="0"/>
    </x:xf>
    <x:xf numFmtId="164" fontId="7" fillId="4" borderId="2" xfId="20" applyFont="1" applyBorder="1" applyAlignment="0" applyProtection="0">
      <x:alignment horizontal="general" vertical="bottom" wrapText="0" shrinkToFit="0"/>
      <x:protection locked="1" hidden="0"/>
    </x:xf>
    <x:xf numFmtId="164" fontId="9" fillId="0" borderId="3" xfId="20" applyFont="1" applyBorder="1" applyAlignment="1" applyProtection="0">
      <x:alignment horizontal="general" vertical="center" wrapText="0" shrinkToFit="0"/>
      <x:protection locked="1" hidden="0"/>
    </x:xf>
    <x:xf numFmtId="164" fontId="8" fillId="0" borderId="3" xfId="20" applyFont="1" applyBorder="1" applyAlignment="1" applyProtection="0">
      <x:alignment horizontal="general" vertical="center" wrapText="0" shrinkToFit="0"/>
      <x:protection locked="1" hidden="0"/>
    </x:xf>
    <x:xf numFmtId="165" fontId="8" fillId="0" borderId="3" xfId="20" applyFont="1" applyBorder="1" applyAlignment="1" applyProtection="0">
      <x:alignment horizontal="general" vertical="center" wrapText="0" shrinkToFit="0"/>
      <x:protection locked="1" hidden="0"/>
    </x:xf>
    <x:xf numFmtId="166" fontId="8" fillId="0" borderId="3" xfId="20" applyFont="1" applyBorder="1" applyAlignment="1" applyProtection="0">
      <x:alignment horizontal="general" vertical="center" wrapText="0" shrinkToFit="0"/>
      <x:protection locked="1" hidden="0"/>
    </x:xf>
    <x:xf numFmtId="167" fontId="8" fillId="0" borderId="3" xfId="20" applyFont="1" applyBorder="1" applyAlignment="1" applyProtection="0">
      <x:alignment horizontal="general" vertical="center" wrapText="0" shrinkToFit="0"/>
      <x:protection locked="1" hidden="0"/>
    </x:xf>
    <x:xf numFmtId="164" fontId="12" fillId="6" borderId="4" xfId="20" applyFont="1" applyBorder="1" applyAlignment="1" applyProtection="0">
      <x:alignment horizontal="general" vertical="center" wrapText="1" shrinkToFit="0"/>
      <x:protection locked="1" hidden="0"/>
    </x:xf>
    <x:xf numFmtId="164" fontId="13" fillId="7" borderId="5" xfId="20" applyFont="1" applyBorder="1" applyAlignment="1" applyProtection="0">
      <x:alignment horizontal="general" vertical="center" wrapText="1" shrinkToFit="0"/>
      <x:protection locked="1" hidden="0"/>
    </x:xf>
    <x:xf numFmtId="164" fontId="9" fillId="0" borderId="0" xfId="20" applyFont="1" applyBorder="0" applyAlignment="0" applyProtection="0">
      <x:alignment horizontal="general" vertical="bottom" wrapText="0" shrinkToFit="0"/>
      <x:protection locked="1" hidden="0"/>
    </x:xf>
    <x:xf numFmtId="164" fontId="14" fillId="8" borderId="0" xfId="20" applyFont="1" applyBorder="0" applyAlignment="0" applyProtection="0">
      <x:alignment horizontal="general" vertical="bottom" wrapText="0" shrinkToFit="0"/>
      <x:protection locked="1" hidden="0"/>
    </x:xf>
    <x:xf numFmtId="164" fontId="8" fillId="0" borderId="0" xfId="20" applyFont="1" applyBorder="0" applyAlignment="0" applyProtection="0">
      <x:alignment horizontal="general" vertical="bottom" wrapText="0" shrinkToFit="0"/>
      <x:protection locked="1" hidden="0"/>
    </x:xf>
    <x:xf numFmtId="168" fontId="15" fillId="0" borderId="0" xfId="20" applyFont="1" applyBorder="0" applyAlignment="0" applyProtection="0">
      <x:alignment horizontal="general" vertical="bottom" wrapText="0" shrinkToFit="0"/>
      <x:protection locked="1" hidden="0"/>
    </x:xf>
    <x:xf numFmtId="164" fontId="14" fillId="0" borderId="0" xfId="20" applyFont="1" applyBorder="0" applyAlignment="1" applyProtection="0">
      <x:alignment horizontal="general" vertical="top" wrapText="1" shrinkToFit="0"/>
      <x:protection locked="1" hidden="0"/>
    </x:xf>
    <x:xf numFmtId="168" fontId="15" fillId="0" borderId="1" xfId="20" applyFont="1" applyBorder="1" applyAlignment="1" applyProtection="0">
      <x:alignment horizontal="general" vertical="top" wrapText="1" shrinkToFit="0"/>
      <x:protection locked="1" hidden="0"/>
    </x:xf>
    <x:xf numFmtId="169" fontId="8" fillId="0" borderId="1" xfId="20" applyFont="1" applyBorder="1" applyAlignment="1" applyProtection="0">
      <x:alignment horizontal="general" vertical="top" wrapText="1" shrinkToFit="0"/>
      <x:protection locked="1" hidden="0"/>
    </x:xf>
    <x:xf numFmtId="164" fontId="14" fillId="0" borderId="1" xfId="20" applyFont="1" applyBorder="1" applyAlignment="0" applyProtection="0">
      <x:alignment horizontal="general" vertical="bottom" wrapText="0" shrinkToFit="0"/>
      <x:protection locked="1" hidden="0"/>
    </x:xf>
    <x:xf numFmtId="168" fontId="15" fillId="0" borderId="1" xfId="20" applyFont="1" applyBorder="1" applyAlignment="0" applyProtection="0">
      <x:alignment horizontal="general" vertical="bottom" wrapText="0" shrinkToFit="0"/>
      <x:protection locked="1" hidden="0"/>
    </x:xf>
    <x:xf numFmtId="168" fontId="8" fillId="0" borderId="1" xfId="20" applyFont="1" applyBorder="1" applyAlignment="0" applyProtection="0">
      <x:alignment horizontal="general" vertical="bottom" wrapText="0" shrinkToFit="0"/>
      <x:protection locked="1" hidden="0"/>
    </x:xf>
    <x:xf numFmtId="164" fontId="16" fillId="0" borderId="0" xfId="20" applyFont="1" applyBorder="1" applyAlignment="1" applyProtection="0">
      <x:alignment horizontal="general" vertical="top" wrapText="1" shrinkToFit="0"/>
      <x:protection locked="1" hidden="0"/>
    </x:xf>
    <x:xf numFmtId="164" fontId="14" fillId="0" borderId="1" xfId="20" applyFont="1" applyBorder="1" applyAlignment="1" applyProtection="0">
      <x:alignment horizontal="general" vertical="top" wrapText="1" shrinkToFit="0"/>
      <x:protection locked="1" hidden="0"/>
    </x:xf>
    <x:xf numFmtId="164" fontId="6" fillId="0" borderId="0" xfId="20" applyFont="1" applyBorder="1" applyAlignment="1" applyProtection="0">
      <x:alignment horizontal="general" vertical="top" wrapText="1" shrinkToFit="0"/>
      <x:protection locked="1" hidden="0"/>
    </x:xf>
    <x:xf numFmtId="164" fontId="10" fillId="5" borderId="6" xfId="20" applyFont="1" applyBorder="1" applyAlignment="1" applyProtection="0">
      <x:alignment horizontal="general" vertical="center" wrapText="1" shrinkToFit="0"/>
      <x:protection locked="1" hidden="0"/>
    </x:xf>
    <x:xf numFmtId="170" fontId="8" fillId="0" borderId="3" xfId="20" applyFont="1" applyBorder="1" applyAlignment="1" applyProtection="0">
      <x:alignment horizontal="general" vertical="center" wrapText="0" shrinkToFit="0"/>
      <x:protection locked="1" hidden="0"/>
    </x:xf>
    <x:xf numFmtId="169" fontId="8" fillId="0" borderId="3" xfId="20" applyFont="1" applyBorder="1" applyAlignment="1" applyProtection="0">
      <x:alignment horizontal="general" vertical="center" wrapText="0" shrinkToFit="0"/>
      <x:protection locked="1" hidden="0"/>
    </x:xf>
    <x:xf numFmtId="164" fontId="10" fillId="5" borderId="6" xfId="20" applyFont="1" applyBorder="1" applyAlignment="1" applyProtection="0">
      <x:alignment horizontal="general" vertical="center" wrapText="0" shrinkToFit="0"/>
      <x:protection locked="1" hidden="0"/>
    </x:xf>
    <x:xf numFmtId="168" fontId="8" fillId="0" borderId="3" xfId="20" applyFont="1" applyBorder="1" applyAlignment="1" applyProtection="0">
      <x:alignment horizontal="general" vertical="center" wrapText="0" shrinkToFit="0"/>
      <x:protection locked="1" hidden="0"/>
    </x:xf>
    <x:xf numFmtId="171" fontId="8" fillId="0" borderId="3" xfId="20" applyFont="1" applyBorder="1" applyAlignment="1" applyProtection="0">
      <x:alignment horizontal="general" vertical="center" wrapText="0" shrinkToFit="0"/>
      <x:protection locked="1" hidden="0"/>
    </x:xf>
    <x:xf numFmtId="172" fontId="8" fillId="0" borderId="3" xfId="20" applyFont="1" applyBorder="1" applyAlignment="1" applyProtection="0">
      <x:alignment horizontal="general" vertical="center" wrapText="0" shrinkToFit="0"/>
      <x:protection locked="1" hidden="0"/>
    </x:xf>
    <x:xf numFmtId="164" fontId="8" fillId="0" borderId="3" xfId="20" applyFont="1" applyBorder="1" applyAlignment="1" applyProtection="0">
      <x:alignment horizontal="general" vertical="center" wrapText="1" shrinkToFit="0"/>
      <x:protection locked="1" hidden="0"/>
    </x:xf>
    <x:xf numFmtId="164" fontId="0" fillId="0" borderId="0" xfId="0" applyFont="0" applyBorder="0" applyAlignment="0" applyProtection="0">
      <x:alignment horizontal="general" vertical="bottom" wrapText="0" shrinkToFit="0"/>
      <x:protection locked="1" hidden="0"/>
      <x:extLst>
        <x:ext uri="{C7286773-470A-42A8-94C5-96B5CB345126}">
          <xfpb:xfComplement xmlns:xfpb="http://schemas.microsoft.com/office/spreadsheetml/2022/featurepropertybag" i="0"/>
        </x:ext>
      </x:extLst>
    </x:xf>
    <x:xf numFmtId="164" fontId="0" fillId="9" borderId="0" xfId="0" applyNumberFormat="1" applyFont="1" applyFill="1" applyBorder="1" applyAlignment="1">
      <x:alignment horizontal="general" vertical="bottom" wrapText="0"/>
    </x:xf>
    <x:xf numFmtId="164" fontId="20" fillId="9" borderId="0" xfId="0" applyNumberFormat="1" applyFont="1" applyFill="1" applyBorder="1" applyAlignment="1">
      <x:alignment horizontal="general" vertical="bottom" wrapText="0"/>
    </x:xf>
    <x:xf numFmtId="164" fontId="20" fillId="9" borderId="7" xfId="0" applyNumberFormat="1" applyFont="1" applyFill="1" applyBorder="1" applyAlignment="1">
      <x:alignment horizontal="general" vertical="bottom" wrapText="0"/>
    </x:xf>
    <x:xf numFmtId="164" fontId="20" fillId="9" borderId="8" xfId="0" applyNumberFormat="1" applyFont="1" applyFill="1" applyBorder="1" applyAlignment="1">
      <x:alignment horizontal="general" vertical="bottom" wrapText="0"/>
    </x:xf>
    <x:xf numFmtId="164" fontId="20" fillId="9" borderId="9" xfId="0" applyNumberFormat="1" applyFont="1" applyFill="1" applyBorder="1" applyAlignment="1">
      <x:alignment horizontal="general" vertical="bottom" wrapText="0"/>
    </x:xf>
    <x:xf numFmtId="164" fontId="20" fillId="9" borderId="7" xfId="0" applyNumberFormat="1" applyFont="1" applyFill="1" applyBorder="1" applyAlignment="1">
      <x:alignment horizontal="general" vertical="bottom" wrapText="1"/>
    </x:xf>
    <x:xf numFmtId="164" fontId="20" fillId="9" borderId="8" xfId="0" applyNumberFormat="1" applyFont="1" applyFill="1" applyBorder="1" applyAlignment="1">
      <x:alignment horizontal="general" vertical="bottom" wrapText="1"/>
    </x:xf>
    <x:xf numFmtId="164" fontId="20" fillId="9" borderId="9" xfId="0" applyNumberFormat="1" applyFont="1" applyFill="1" applyBorder="1" applyAlignment="1">
      <x:alignment horizontal="general" vertical="bottom" wrapText="1"/>
    </x:xf>
    <x:xf numFmtId="164" fontId="20" fillId="9" borderId="7" xfId="0" applyNumberFormat="1" applyFont="1" applyFill="1" applyBorder="1" applyAlignment="1">
      <x:alignment horizontal="center" vertical="bottom" wrapText="1"/>
    </x:xf>
    <x:xf numFmtId="164" fontId="20" fillId="9" borderId="8" xfId="0" applyNumberFormat="1" applyFont="1" applyFill="1" applyBorder="1" applyAlignment="1">
      <x:alignment horizontal="center" vertical="bottom" wrapText="1"/>
    </x:xf>
    <x:xf numFmtId="164" fontId="20" fillId="9" borderId="9" xfId="0" applyNumberFormat="1" applyFont="1" applyFill="1" applyBorder="1" applyAlignment="1">
      <x:alignment horizontal="center" vertical="bottom" wrapText="1"/>
    </x:xf>
    <x:xf numFmtId="164" fontId="20" fillId="9" borderId="7" xfId="0" applyNumberFormat="1" applyFont="1" applyFill="1" applyBorder="1" applyAlignment="1">
      <x:alignment horizontal="center" vertical="center" wrapText="1"/>
    </x:xf>
    <x:xf numFmtId="164" fontId="20" fillId="9" borderId="8" xfId="0" applyNumberFormat="1" applyFont="1" applyFill="1" applyBorder="1" applyAlignment="1">
      <x:alignment horizontal="center" vertical="center" wrapText="1"/>
    </x:xf>
    <x:xf numFmtId="164" fontId="20" fillId="9" borderId="9" xfId="0" applyNumberFormat="1" applyFont="1" applyFill="1" applyBorder="1" applyAlignment="1">
      <x:alignment horizontal="center" vertical="center" wrapText="1"/>
    </x:xf>
    <x:xf numFmtId="164" fontId="21" fillId="0" borderId="0" xfId="0" applyNumberFormat="1" applyFont="1" applyFill="1" applyBorder="1" applyAlignment="1">
      <x:alignment horizontal="general" vertical="bottom" wrapText="0"/>
    </x:xf>
    <x:xf numFmtId="164" fontId="21" fillId="0" borderId="0" xfId="0" applyNumberFormat="1" applyFont="1" applyFill="1" applyBorder="1" applyAlignment="1">
      <x:alignment horizontal="general" vertical="bottom" wrapText="0"/>
      <x:extLst>
        <x:ext uri="{C7286773-470A-42A8-94C5-96B5CB345126}">
          <xfpb:xfComplement xmlns:xfpb="http://schemas.microsoft.com/office/spreadsheetml/2022/featurepropertybag" i="0"/>
        </x:ext>
      </x:extLst>
    </x:xf>
    <x:xf numFmtId="164" fontId="21" fillId="0" borderId="10" xfId="0" applyNumberFormat="1" applyFont="1" applyFill="1" applyBorder="1" applyAlignment="1">
      <x:alignment horizontal="general" vertical="bottom" wrapText="0"/>
    </x:xf>
    <x:xf numFmtId="164" fontId="21" fillId="0" borderId="10" xfId="0" applyNumberFormat="1" applyFont="1" applyFill="1" applyBorder="1" applyAlignment="1">
      <x:alignment horizontal="general" vertical="bottom" wrapText="0"/>
      <x:extLst>
        <x:ext uri="{C7286773-470A-42A8-94C5-96B5CB345126}">
          <xfpb:xfComplement xmlns:xfpb="http://schemas.microsoft.com/office/spreadsheetml/2022/featurepropertybag" i="0"/>
        </x:ext>
      </x:extLst>
    </x:xf>
    <x:xf numFmtId="164" fontId="21" fillId="0" borderId="0" xfId="0" applyNumberFormat="1" applyFont="1" applyFill="1" applyBorder="1" applyAlignment="1">
      <x:alignment horizontal="general" vertical="center" wrapText="0"/>
    </x:xf>
    <x:xf numFmtId="164" fontId="21" fillId="0" borderId="0" xfId="0" applyNumberFormat="1" applyFont="1" applyFill="1" applyBorder="1" applyAlignment="1">
      <x:alignment horizontal="general" vertical="center" wrapText="0"/>
      <x:extLst>
        <x:ext uri="{C7286773-470A-42A8-94C5-96B5CB345126}">
          <xfpb:xfComplement xmlns:xfpb="http://schemas.microsoft.com/office/spreadsheetml/2022/featurepropertybag" i="0"/>
        </x:ext>
      </x:extLst>
    </x:xf>
    <x:xf numFmtId="164" fontId="21" fillId="0" borderId="10" xfId="0" applyNumberFormat="1" applyFont="1" applyFill="1" applyBorder="1" applyAlignment="1">
      <x:alignment horizontal="general" vertical="center" wrapText="0"/>
    </x:xf>
    <x:xf numFmtId="164" fontId="21" fillId="0" borderId="10" xfId="0" applyNumberFormat="1" applyFont="1" applyFill="1" applyBorder="1" applyAlignment="1">
      <x:alignment horizontal="general" vertical="center" wrapText="0"/>
      <x:extLst>
        <x:ext uri="{C7286773-470A-42A8-94C5-96B5CB345126}">
          <xfpb:xfComplement xmlns:xfpb="http://schemas.microsoft.com/office/spreadsheetml/2022/featurepropertybag" i="0"/>
        </x:ext>
      </x:extLst>
    </x:xf>
    <x:xf numFmtId="166" fontId="21" fillId="0" borderId="0" xfId="0" applyNumberFormat="1" applyFont="1" applyFill="1" applyBorder="1" applyAlignment="1">
      <x:alignment horizontal="general" vertical="center" wrapText="0"/>
    </x:xf>
    <x:xf numFmtId="166" fontId="21" fillId="0" borderId="10" xfId="0" applyNumberFormat="1" applyFont="1" applyFill="1" applyBorder="1" applyAlignment="1">
      <x:alignment horizontal="general" vertical="center" wrapText="0"/>
    </x:xf>
    <x:xf numFmtId="170" fontId="21" fillId="0" borderId="0" xfId="0" applyNumberFormat="1" applyFont="1" applyFill="1" applyBorder="1" applyAlignment="1">
      <x:alignment horizontal="general" vertical="center" wrapText="0"/>
    </x:xf>
    <x:xf numFmtId="170" fontId="21" fillId="0" borderId="10" xfId="0" applyNumberFormat="1" applyFont="1" applyFill="1" applyBorder="1" applyAlignment="1">
      <x:alignment horizontal="general" vertical="center" wrapText="0"/>
    </x:xf>
    <x:xf numFmtId="164" fontId="10" fillId="9" borderId="1" xfId="0" applyNumberFormat="1" applyFont="1" applyFill="1" applyBorder="1" applyAlignment="1">
      <x:alignment horizontal="general" vertical="top" wrapText="1"/>
    </x:xf>
    <x:xf numFmtId="164" fontId="10" fillId="9" borderId="11" xfId="0" applyNumberFormat="1" applyFont="1" applyFill="1" applyBorder="1" applyAlignment="1">
      <x:alignment horizontal="general" vertical="top" wrapText="1"/>
    </x:xf>
    <x:xf numFmtId="164" fontId="10" fillId="9" borderId="12" xfId="0" applyNumberFormat="1" applyFont="1" applyFill="1" applyBorder="1" applyAlignment="1">
      <x:alignment horizontal="general" vertical="top" wrapText="1"/>
    </x:xf>
    <x:xf numFmtId="164" fontId="10" fillId="9" borderId="11" xfId="0" applyNumberFormat="1" applyFont="1" applyFill="1" applyBorder="1" applyAlignment="1">
      <x:alignment horizontal="center" vertical="top" wrapText="1"/>
    </x:xf>
    <x:xf numFmtId="164" fontId="10" fillId="9" borderId="12" xfId="0" applyNumberFormat="1" applyFont="1" applyFill="1" applyBorder="1" applyAlignment="1">
      <x:alignment horizontal="center" vertical="top" wrapText="1"/>
    </x:xf>
    <x:xf numFmtId="164" fontId="10" fillId="9" borderId="11" xfId="0" applyNumberFormat="1" applyFont="1" applyFill="1" applyBorder="1" applyAlignment="1">
      <x:alignment horizontal="center" vertical="center" wrapText="1"/>
    </x:xf>
    <x:xf numFmtId="164" fontId="10" fillId="9" borderId="12" xfId="0" applyNumberFormat="1" applyFont="1" applyFill="1" applyBorder="1" applyAlignment="1">
      <x:alignment horizontal="center" vertical="center" wrapText="1"/>
    </x:xf>
    <x:xf numFmtId="164" fontId="10" fillId="9" borderId="13" xfId="0" applyNumberFormat="1" applyFont="1" applyFill="1" applyBorder="1" applyAlignment="1">
      <x:alignment horizontal="general" vertical="top" wrapText="1"/>
    </x:xf>
    <x:xf numFmtId="164" fontId="10" fillId="9" borderId="13" xfId="0" applyNumberFormat="1" applyFont="1" applyFill="1" applyBorder="1" applyAlignment="1">
      <x:alignment horizontal="center" vertical="top" wrapText="1"/>
    </x:xf>
    <x:xf numFmtId="164" fontId="10" fillId="9" borderId="13" xfId="0" applyNumberFormat="1" applyFont="1" applyFill="1" applyBorder="1" applyAlignment="1">
      <x:alignment horizontal="center" vertical="center" wrapText="1"/>
    </x:xf>
    <x:xf numFmtId="164" fontId="8" fillId="0" borderId="1" xfId="0" applyNumberFormat="1" applyFont="1" applyFill="1" applyBorder="1" applyAlignment="1">
      <x:alignment horizontal="general" vertical="top" wrapText="1"/>
    </x:xf>
    <x:xf numFmtId="169" fontId="8" fillId="0" borderId="1" xfId="0" applyNumberFormat="1" applyFont="1" applyFill="1" applyBorder="1" applyAlignment="1">
      <x:alignment horizontal="general" vertical="top" wrapText="1"/>
    </x:xf>
    <x:xf numFmtId="164" fontId="8" fillId="0" borderId="14" xfId="0" applyNumberFormat="1" applyFont="1" applyFill="1" applyBorder="1" applyAlignment="1">
      <x:alignment horizontal="general" vertical="top" wrapText="1"/>
    </x:xf>
    <x:xf numFmtId="169" fontId="8" fillId="0" borderId="14" xfId="0" applyNumberFormat="1" applyFont="1" applyFill="1" applyBorder="1" applyAlignment="1">
      <x:alignment horizontal="general" vertical="top" wrapText="1"/>
    </x:xf>
    <x:xf numFmtId="164" fontId="8" fillId="0" borderId="1" xfId="0" applyNumberFormat="1" applyFont="1" applyFill="1" applyBorder="1" applyAlignment="1">
      <x:alignment horizontal="general" vertical="center" wrapText="1"/>
    </x:xf>
    <x:xf numFmtId="169" fontId="8" fillId="0" borderId="1" xfId="0" applyNumberFormat="1" applyFont="1" applyFill="1" applyBorder="1" applyAlignment="1">
      <x:alignment horizontal="general" vertical="center" wrapText="1"/>
    </x:xf>
    <x:xf numFmtId="164" fontId="8" fillId="0" borderId="14" xfId="0" applyNumberFormat="1" applyFont="1" applyFill="1" applyBorder="1" applyAlignment="1">
      <x:alignment horizontal="general" vertical="center" wrapText="1"/>
    </x:xf>
    <x:xf numFmtId="169" fontId="8" fillId="0" borderId="14" xfId="0" applyNumberFormat="1" applyFont="1" applyFill="1" applyBorder="1" applyAlignment="1">
      <x:alignment horizontal="general" vertical="center" wrapText="1"/>
    </x:xf>
    <x:xf numFmtId="164" fontId="8" fillId="0" borderId="1" xfId="0" applyNumberFormat="1" applyFont="1" applyFill="1" applyBorder="1" applyAlignment="1">
      <x:alignment horizontal="general" vertical="bottom" wrapText="0"/>
    </x:xf>
    <x:xf numFmtId="164" fontId="8" fillId="0" borderId="0" xfId="0" applyNumberFormat="1" applyFont="1" applyFill="1" applyBorder="1" applyAlignment="1">
      <x:alignment horizontal="general" vertical="bottom" wrapText="0"/>
    </x:xf>
    <x:xf numFmtId="164" fontId="8" fillId="0" borderId="14" xfId="0" applyNumberFormat="1" applyFont="1" applyFill="1" applyBorder="1" applyAlignment="1">
      <x:alignment horizontal="general" vertical="bottom" wrapText="0"/>
    </x:xf>
    <x:xf numFmtId="164" fontId="8" fillId="0" borderId="10" xfId="0" applyNumberFormat="1" applyFont="1" applyFill="1" applyBorder="1" applyAlignment="1">
      <x:alignment horizontal="general" vertical="bottom" wrapText="0"/>
    </x:xf>
    <x:xf numFmtId="164" fontId="8" fillId="0" borderId="1" xfId="0" applyNumberFormat="1" applyFont="1" applyFill="1" applyBorder="1" applyAlignment="1">
      <x:alignment horizontal="general" vertical="center" wrapText="0"/>
    </x:xf>
    <x:xf numFmtId="164" fontId="8" fillId="0" borderId="0" xfId="0" applyNumberFormat="1" applyFont="1" applyFill="1" applyBorder="1" applyAlignment="1">
      <x:alignment horizontal="general" vertical="center" wrapText="0"/>
    </x:xf>
    <x:xf numFmtId="164" fontId="8" fillId="0" borderId="14" xfId="0" applyNumberFormat="1" applyFont="1" applyFill="1" applyBorder="1" applyAlignment="1">
      <x:alignment horizontal="general" vertical="center" wrapText="0"/>
    </x:xf>
    <x:xf numFmtId="164" fontId="8" fillId="0" borderId="10" xfId="0" applyNumberFormat="1" applyFont="1" applyFill="1" applyBorder="1" applyAlignment="1">
      <x:alignment horizontal="general" vertical="center" wrapText="0"/>
    </x:xf>
    <x:xf numFmtId="164" fontId="7" fillId="10" borderId="0" xfId="0" applyNumberFormat="1" applyFont="1" applyFill="1" applyBorder="1" applyAlignment="1">
      <x:alignment horizontal="general" vertical="bottom" wrapText="0"/>
    </x:xf>
    <x:xf numFmtId="164" fontId="0" fillId="10" borderId="0" xfId="0" applyNumberFormat="1" applyFont="1" applyFill="1" applyBorder="1" applyAlignment="1">
      <x:alignment horizontal="general" vertical="bottom" wrapText="0"/>
    </x:xf>
    <x:xf numFmtId="164" fontId="9" fillId="10" borderId="0" xfId="0" applyNumberFormat="1" applyFont="1" applyFill="1" applyBorder="1" applyAlignment="1">
      <x:alignment horizontal="general" vertical="bottom" wrapText="0"/>
    </x:xf>
    <x:xf numFmtId="164" fontId="22" fillId="10" borderId="0" xfId="0" applyNumberFormat="1" applyFont="1" applyFill="1" applyBorder="1" applyAlignment="1">
      <x:alignment horizontal="general" vertical="bottom" wrapText="0"/>
    </x:xf>
    <x:xf numFmtId="164" fontId="9" fillId="10" borderId="15" xfId="0" applyNumberFormat="1" applyFont="1" applyFill="1" applyBorder="1" applyAlignment="1">
      <x:alignment horizontal="general" vertical="bottom" wrapText="0"/>
    </x:xf>
    <x:xf numFmtId="164" fontId="9" fillId="10" borderId="16" xfId="0" applyNumberFormat="1" applyFont="1" applyFill="1" applyBorder="1" applyAlignment="1">
      <x:alignment horizontal="general" vertical="bottom" wrapText="0"/>
    </x:xf>
    <x:xf numFmtId="164" fontId="22" fillId="10" borderId="16" xfId="0" applyNumberFormat="1" applyFont="1" applyFill="1" applyBorder="1" applyAlignment="1">
      <x:alignment horizontal="general" vertical="bottom" wrapText="0"/>
    </x:xf>
    <x:xf numFmtId="164" fontId="22" fillId="10" borderId="17" xfId="0" applyNumberFormat="1" applyFont="1" applyFill="1" applyBorder="1" applyAlignment="1">
      <x:alignment horizontal="general" vertical="bottom" wrapText="0"/>
    </x:xf>
    <x:xf numFmtId="165" fontId="8" fillId="0" borderId="1" xfId="0" applyNumberFormat="1" applyFont="1" applyFill="1" applyBorder="1" applyAlignment="1">
      <x:alignment horizontal="general" vertical="center" wrapText="1"/>
    </x:xf>
    <x:xf numFmtId="165" fontId="8" fillId="0" borderId="14" xfId="0" applyNumberFormat="1" applyFont="1" applyFill="1" applyBorder="1" applyAlignment="1">
      <x:alignment horizontal="general" vertical="center" wrapText="1"/>
    </x:xf>
    <x:xf numFmtId="169" fontId="21" fillId="0" borderId="0" xfId="0" applyNumberFormat="1" applyFont="1" applyFill="1" applyBorder="1" applyAlignment="1">
      <x:alignment horizontal="general" vertical="center" wrapText="0"/>
    </x:xf>
    <x:xf numFmtId="169" fontId="21" fillId="0" borderId="10" xfId="0" applyNumberFormat="1" applyFont="1" applyFill="1" applyBorder="1" applyAlignment="1">
      <x:alignment horizontal="general" vertical="center" wrapText="0"/>
    </x:xf>
    <x:xf numFmtId="164" fontId="10" fillId="11" borderId="1" xfId="0" applyNumberFormat="1" applyFont="1" applyFill="1" applyBorder="1" applyAlignment="1">
      <x:alignment horizontal="general" vertical="top" wrapText="1"/>
    </x:xf>
    <x:xf numFmtId="164" fontId="0" fillId="11" borderId="0" xfId="0" applyNumberFormat="1" applyFont="1" applyFill="1" applyBorder="1" applyAlignment="1">
      <x:alignment horizontal="general" vertical="bottom" wrapText="0"/>
    </x:xf>
    <x:xf numFmtId="164" fontId="4" fillId="11" borderId="0" xfId="0" applyNumberFormat="1" applyFont="1" applyFill="1" applyBorder="1" applyAlignment="1">
      <x:alignment horizontal="general" vertical="bottom" wrapText="0"/>
    </x:xf>
    <x:xf numFmtId="164" fontId="8" fillId="0" borderId="0" xfId="0" applyNumberFormat="1" applyFont="1" applyFill="1" applyBorder="1" applyAlignment="1">
      <x:alignment horizontal="general" vertical="top" wrapText="1"/>
    </x:xf>
    <x:xf numFmtId="164" fontId="0" fillId="0" borderId="0" xfId="0" applyNumberFormat="1" applyFont="1" applyFill="1" applyBorder="1" applyAlignment="1">
      <x:alignment horizontal="general" vertical="bottom" wrapText="1"/>
    </x:xf>
    <x:xf numFmtId="166" fontId="8" fillId="0" borderId="3" xfId="0" applyNumberFormat="1" applyFont="1" applyFill="1" applyBorder="1" applyAlignment="1">
      <x:alignment horizontal="general" vertical="center" wrapText="0"/>
    </x:xf>
    <x:xf numFmtId="169" fontId="4" fillId="0" borderId="0" xfId="0" applyNumberFormat="1" applyFont="1" applyFill="1" applyBorder="1" applyAlignment="1">
      <x:alignment horizontal="general" vertical="bottom" wrapText="0"/>
    </x:xf>
    <x:xf numFmtId="164" fontId="12" fillId="6" borderId="4" xfId="0" applyNumberFormat="1" applyFont="1" applyFill="1" applyBorder="1" applyAlignment="1">
      <x:alignment horizontal="general" vertical="center" wrapText="1"/>
    </x:xf>
    <x:xf numFmtId="164" fontId="13" fillId="7" borderId="5" xfId="0" applyNumberFormat="1" applyFont="1" applyFill="1" applyBorder="1" applyAlignment="1">
      <x:alignment horizontal="general" vertical="center" wrapText="1"/>
    </x:xf>
    <x:xf numFmtId="164" fontId="10" fillId="9" borderId="6" xfId="0" applyNumberFormat="1" applyFont="1" applyFill="1" applyBorder="1" applyAlignment="1">
      <x:alignment horizontal="general" vertical="center" wrapText="1"/>
    </x:xf>
    <x:xf numFmtId="164" fontId="10" fillId="9" borderId="6" xfId="0" applyNumberFormat="1" applyFont="1" applyFill="1" applyBorder="1" applyAlignment="1">
      <x:alignment horizontal="center" vertical="center" wrapText="1"/>
    </x:xf>
    <x:xf numFmtId="164" fontId="8" fillId="0" borderId="3" xfId="0" applyNumberFormat="1" applyFont="1" applyFill="1" applyBorder="1" applyAlignment="1">
      <x:alignment horizontal="general" vertical="center" wrapText="0"/>
    </x:xf>
    <x:xf numFmtId="169" fontId="8" fillId="0" borderId="3" xfId="0" applyNumberFormat="1" applyFont="1" applyFill="1" applyBorder="1" applyAlignment="1">
      <x:alignment horizontal="general" vertical="center" wrapText="0"/>
    </x:xf>
    <x:xf numFmtId="164" fontId="8" fillId="0" borderId="18" xfId="0" applyNumberFormat="1" applyFont="1" applyFill="1" applyBorder="1" applyAlignment="1">
      <x:alignment horizontal="general" vertical="center" wrapText="0"/>
    </x:xf>
    <x:xf numFmtId="169" fontId="8" fillId="0" borderId="18" xfId="0" applyNumberFormat="1" applyFont="1" applyFill="1" applyBorder="1" applyAlignment="1">
      <x:alignment horizontal="general" vertical="center" wrapText="0"/>
    </x:xf>
    <x:xf numFmtId="164" fontId="9" fillId="0" borderId="1" xfId="0" applyNumberFormat="1" applyFont="1" applyFill="1" applyBorder="1" applyAlignment="1">
      <x:alignment horizontal="general" vertical="top" wrapText="1"/>
    </x:xf>
    <x:xf numFmtId="164" fontId="23" fillId="0" borderId="1" xfId="0" applyNumberFormat="1" applyFont="1" applyFill="1" applyBorder="1" applyAlignment="1">
      <x:alignment horizontal="general" vertical="top" wrapText="1"/>
    </x:xf>
    <x:xf numFmtId="164" fontId="8" fillId="0" borderId="10" xfId="0" applyNumberFormat="1" applyFont="1" applyFill="1" applyBorder="1" applyAlignment="1">
      <x:alignment horizontal="general" vertical="center" wrapText="1"/>
    </x:xf>
    <x:xf numFmtId="164" fontId="21" fillId="0" borderId="0" xfId="0" applyNumberFormat="1" applyFont="1" applyFill="1" applyBorder="1" applyAlignment="1">
      <x:alignment horizontal="general" vertical="center" wrapText="1"/>
    </x:xf>
    <x:xf numFmtId="164" fontId="8" fillId="0" borderId="0" xfId="0" applyNumberFormat="1" applyFont="1" applyFill="1" applyBorder="1" applyAlignment="1">
      <x:alignment horizontal="general" vertical="center" wrapText="1"/>
    </x:xf>
    <x:xf numFmtId="171" fontId="8" fillId="0" borderId="3" xfId="0" applyNumberFormat="1" applyFont="1" applyFill="1" applyBorder="1" applyAlignment="1">
      <x:alignment horizontal="general" vertical="center" wrapText="0"/>
    </x:xf>
    <x:xf numFmtId="172" fontId="8" fillId="0" borderId="3" xfId="0" applyNumberFormat="1" applyFont="1" applyFill="1" applyBorder="1" applyAlignment="1">
      <x:alignment horizontal="general" vertical="center" wrapText="0"/>
    </x:xf>
    <x:xf numFmtId="164" fontId="8" fillId="12" borderId="1" xfId="0" applyNumberFormat="1" applyFont="1" applyFill="1" applyBorder="1" applyAlignment="1">
      <x:alignment horizontal="general" vertical="center" wrapText="1"/>
    </x:xf>
    <x:xf numFmtId="164" fontId="24" fillId="12" borderId="1" xfId="0" applyNumberFormat="1" applyFont="1" applyFill="1" applyBorder="1" applyAlignment="1">
      <x:alignment horizontal="general" vertical="center" wrapText="1"/>
    </x:xf>
    <x:xf numFmtId="164" fontId="25" fillId="0" borderId="0" xfId="0" applyNumberFormat="1" applyFont="1" applyFill="1" applyBorder="1" applyAlignment="1">
      <x:alignment horizontal="general" vertical="bottom" wrapText="0"/>
    </x:xf>
    <x:xf numFmtId="164" fontId="25" fillId="0" borderId="0" xfId="0" applyNumberFormat="1" applyFont="1" applyFill="1" applyBorder="1" applyAlignment="1">
      <x:alignment horizontal="general" vertical="bottom" wrapText="1"/>
    </x:xf>
    <x:xf numFmtId="164" fontId="25" fillId="0" borderId="0" xfId="0" applyNumberFormat="1" applyFont="1" applyFill="1" applyBorder="1" applyAlignment="1">
      <x:alignment horizontal="general" vertical="center" wrapText="1"/>
    </x:xf>
    <x:xf numFmtId="164" fontId="14" fillId="0" borderId="1" xfId="0" applyNumberFormat="1" applyFont="1" applyFill="1" applyBorder="1" applyAlignment="1">
      <x:alignment horizontal="general" vertical="top" wrapText="1"/>
    </x:xf>
    <x:xf numFmtId="164" fontId="26" fillId="0" borderId="1" xfId="0" applyNumberFormat="1" applyFont="1" applyFill="1" applyBorder="1" applyAlignment="1">
      <x:alignment horizontal="general" vertical="top" wrapText="1"/>
    </x:xf>
    <x:xf numFmtId="164" fontId="8" fillId="0" borderId="3" xfId="0" applyNumberFormat="1" applyFont="1" applyFill="1" applyBorder="1" applyAlignment="1">
      <x:alignment horizontal="general" vertical="center" wrapText="1"/>
    </x:xf>
  </x:cellXfs>
  <x:cellStyles count="7">
    <x:cellStyle name="Normal" xfId="0"/>
    <x:cellStyle name="Comma" xfId="15"/>
    <x:cellStyle name="Comma [0]" xfId="16"/>
    <x:cellStyle name="Currency" xfId="17"/>
    <x:cellStyle name="Currency [0]" xfId="18"/>
    <x:cellStyle name="Percent" xfId="19"/>
    <x:cellStyle name="Normal" xfId="20"/>
  </x:cellStyles>
  <x:dxfs count="126">
    <x:dxf>
      <x:fill>
        <x:patternFill>
          <x:bgColor rgb="FF2F75B5"/>
        </x:patternFill>
      </x:fill>
    </x:dxf>
    <x:dxf>
      <x:fill>
        <x:patternFill>
          <x:bgColor rgb="FF000000"/>
        </x:patternFill>
      </x:fill>
    </x:dxf>
    <x:dxf>
      <x:fill>
        <x:patternFill>
          <x:bgColor rgb="FF222222"/>
        </x:patternFill>
      </x:fill>
    </x:dxf>
    <x:dxf>
      <x:fill>
        <x:patternFill>
          <x:bgColor rgb="FFFFFFFF"/>
        </x:patternFill>
      </x:fill>
    </x:dxf>
    <x:dxf>
      <x:fill>
        <x:patternFill>
          <x:bgColor rgb="FF63BE7B"/>
        </x:patternFill>
      </x:fill>
    </x:dxf>
    <x:dxf>
      <x:fill>
        <x:patternFill>
          <x:bgColor rgb="FF6EC17B"/>
        </x:patternFill>
      </x:fill>
    </x:dxf>
    <x:dxf>
      <x:fill>
        <x:patternFill>
          <x:bgColor rgb="FF7AC47C"/>
        </x:patternFill>
      </x:fill>
    </x:dxf>
    <x:dxf>
      <x:fill>
        <x:patternFill>
          <x:bgColor rgb="FF7EC57C"/>
        </x:patternFill>
      </x:fill>
    </x:dxf>
    <x:dxf>
      <x:fill>
        <x:patternFill>
          <x:bgColor rgb="FF81C67C"/>
        </x:patternFill>
      </x:fill>
    </x:dxf>
    <x:dxf>
      <x:fill>
        <x:patternFill>
          <x:bgColor rgb="FF88C87D"/>
        </x:patternFill>
      </x:fill>
    </x:dxf>
    <x:dxf>
      <x:fill>
        <x:patternFill>
          <x:bgColor rgb="FF8ECA7D"/>
        </x:patternFill>
      </x:fill>
    </x:dxf>
    <x:dxf>
      <x:fill>
        <x:patternFill>
          <x:bgColor rgb="FF91CB7D"/>
        </x:patternFill>
      </x:fill>
    </x:dxf>
    <x:dxf>
      <x:fill>
        <x:patternFill>
          <x:bgColor rgb="FF96CC7D"/>
        </x:patternFill>
      </x:fill>
    </x:dxf>
    <x:dxf>
      <x:fill>
        <x:patternFill>
          <x:bgColor rgb="FF9CCE7E"/>
        </x:patternFill>
      </x:fill>
    </x:dxf>
    <x:dxf>
      <x:fill>
        <x:patternFill>
          <x:bgColor rgb="FF9DCE7E"/>
        </x:patternFill>
      </x:fill>
    </x:dxf>
    <x:dxf>
      <x:fill>
        <x:patternFill>
          <x:bgColor rgb="FF9ECF7E"/>
        </x:patternFill>
      </x:fill>
    </x:dxf>
    <x:dxf>
      <x:fill>
        <x:patternFill>
          <x:bgColor rgb="FFA1CF7E"/>
        </x:patternFill>
      </x:fill>
    </x:dxf>
    <x:dxf>
      <x:fill>
        <x:patternFill>
          <x:bgColor rgb="FFA3D07E"/>
        </x:patternFill>
      </x:fill>
    </x:dxf>
    <x:dxf>
      <x:fill>
        <x:patternFill>
          <x:bgColor rgb="FFA6D17E"/>
        </x:patternFill>
      </x:fill>
    </x:dxf>
    <x:dxf>
      <x:fill>
        <x:patternFill>
          <x:bgColor rgb="FFA7D17E"/>
        </x:patternFill>
      </x:fill>
    </x:dxf>
    <x:dxf>
      <x:fill>
        <x:patternFill>
          <x:bgColor rgb="FFAAD27F"/>
        </x:patternFill>
      </x:fill>
    </x:dxf>
    <x:dxf>
      <x:fill>
        <x:patternFill>
          <x:bgColor rgb="FFAED37F"/>
        </x:patternFill>
      </x:fill>
    </x:dxf>
    <x:dxf>
      <x:fill>
        <x:patternFill>
          <x:bgColor rgb="FFB6D67F"/>
        </x:patternFill>
      </x:fill>
    </x:dxf>
    <x:dxf>
      <x:fill>
        <x:patternFill>
          <x:bgColor rgb="FFBAD780"/>
        </x:patternFill>
      </x:fill>
    </x:dxf>
    <x:dxf>
      <x:fill>
        <x:patternFill>
          <x:bgColor rgb="FFBCD780"/>
        </x:patternFill>
      </x:fill>
    </x:dxf>
    <x:dxf>
      <x:fill>
        <x:patternFill>
          <x:bgColor rgb="FFBDD880"/>
        </x:patternFill>
      </x:fill>
    </x:dxf>
    <x:dxf>
      <x:fill>
        <x:patternFill>
          <x:bgColor rgb="FFC2D980"/>
        </x:patternFill>
      </x:fill>
    </x:dxf>
    <x:dxf>
      <x:fill>
        <x:patternFill>
          <x:bgColor rgb="FFC7DA80"/>
        </x:patternFill>
      </x:fill>
    </x:dxf>
    <x:dxf>
      <x:fill>
        <x:patternFill>
          <x:bgColor rgb="FFC8DB80"/>
        </x:patternFill>
      </x:fill>
    </x:dxf>
    <x:dxf>
      <x:fill>
        <x:patternFill>
          <x:bgColor rgb="FFC9DB80"/>
        </x:patternFill>
      </x:fill>
    </x:dxf>
    <x:dxf>
      <x:fill>
        <x:patternFill>
          <x:bgColor rgb="FFCADB80"/>
        </x:patternFill>
      </x:fill>
    </x:dxf>
    <x:dxf>
      <x:fill>
        <x:patternFill>
          <x:bgColor rgb="FFCCDC81"/>
        </x:patternFill>
      </x:fill>
    </x:dxf>
    <x:dxf>
      <x:fill>
        <x:patternFill>
          <x:bgColor rgb="FFCDDC81"/>
        </x:patternFill>
      </x:fill>
    </x:dxf>
    <x:dxf>
      <x:fill>
        <x:patternFill>
          <x:bgColor rgb="FFCFDD81"/>
        </x:patternFill>
      </x:fill>
    </x:dxf>
    <x:dxf>
      <x:fill>
        <x:patternFill>
          <x:bgColor rgb="FFD0DD81"/>
        </x:patternFill>
      </x:fill>
    </x:dxf>
    <x:dxf>
      <x:fill>
        <x:patternFill>
          <x:bgColor rgb="FFD3DE81"/>
        </x:patternFill>
      </x:fill>
    </x:dxf>
    <x:dxf>
      <x:fill>
        <x:patternFill>
          <x:bgColor rgb="FFD5DF81"/>
        </x:patternFill>
      </x:fill>
    </x:dxf>
    <x:dxf>
      <x:fill>
        <x:patternFill>
          <x:bgColor rgb="FFD6DF81"/>
        </x:patternFill>
      </x:fill>
    </x:dxf>
    <x:dxf>
      <x:fill>
        <x:patternFill>
          <x:bgColor rgb="FFD7DF81"/>
        </x:patternFill>
      </x:fill>
    </x:dxf>
    <x:dxf>
      <x:fill>
        <x:patternFill>
          <x:bgColor rgb="FFD9E081"/>
        </x:patternFill>
      </x:fill>
    </x:dxf>
    <x:dxf>
      <x:fill>
        <x:patternFill>
          <x:bgColor rgb="FFDCE182"/>
        </x:patternFill>
      </x:fill>
    </x:dxf>
    <x:dxf>
      <x:fill>
        <x:patternFill>
          <x:bgColor rgb="FFDEE182"/>
        </x:patternFill>
      </x:fill>
    </x:dxf>
    <x:dxf>
      <x:fill>
        <x:patternFill>
          <x:bgColor rgb="FFE0E282"/>
        </x:patternFill>
      </x:fill>
    </x:dxf>
    <x:dxf>
      <x:fill>
        <x:patternFill>
          <x:bgColor rgb="FFE1E282"/>
        </x:patternFill>
      </x:fill>
    </x:dxf>
    <x:dxf>
      <x:fill>
        <x:patternFill>
          <x:bgColor rgb="FFE2E282"/>
        </x:patternFill>
      </x:fill>
    </x:dxf>
    <x:dxf>
      <x:fill>
        <x:patternFill>
          <x:bgColor rgb="FFE8E482"/>
        </x:patternFill>
      </x:fill>
    </x:dxf>
    <x:dxf>
      <x:fill>
        <x:patternFill>
          <x:bgColor rgb="FFE9E482"/>
        </x:patternFill>
      </x:fill>
    </x:dxf>
    <x:dxf>
      <x:fill>
        <x:patternFill>
          <x:bgColor rgb="FFEAE582"/>
        </x:patternFill>
      </x:fill>
    </x:dxf>
    <x:dxf>
      <x:fill>
        <x:patternFill>
          <x:bgColor rgb="FFEBE582"/>
        </x:patternFill>
      </x:fill>
    </x:dxf>
    <x:dxf>
      <x:fill>
        <x:patternFill>
          <x:bgColor rgb="FFECE582"/>
        </x:patternFill>
      </x:fill>
    </x:dxf>
    <x:dxf>
      <x:fill>
        <x:patternFill>
          <x:bgColor rgb="FFEDE582"/>
        </x:patternFill>
      </x:fill>
    </x:dxf>
    <x:dxf>
      <x:fill>
        <x:patternFill>
          <x:bgColor rgb="FFEEE683"/>
        </x:patternFill>
      </x:fill>
    </x:dxf>
    <x:dxf>
      <x:fill>
        <x:patternFill>
          <x:bgColor rgb="FFEFE683"/>
        </x:patternFill>
      </x:fill>
    </x:dxf>
    <x:dxf>
      <x:fill>
        <x:patternFill>
          <x:bgColor rgb="FFF0E683"/>
        </x:patternFill>
      </x:fill>
    </x:dxf>
    <x:dxf>
      <x:fill>
        <x:patternFill>
          <x:bgColor rgb="FFF1E783"/>
        </x:patternFill>
      </x:fill>
    </x:dxf>
    <x:dxf>
      <x:fill>
        <x:patternFill>
          <x:bgColor rgb="FFF2E783"/>
        </x:patternFill>
      </x:fill>
    </x:dxf>
    <x:dxf>
      <x:fill>
        <x:patternFill>
          <x:bgColor rgb="FFF3E783"/>
        </x:patternFill>
      </x:fill>
    </x:dxf>
    <x:dxf>
      <x:fill>
        <x:patternFill>
          <x:bgColor rgb="FFF4E783"/>
        </x:patternFill>
      </x:fill>
    </x:dxf>
    <x:dxf>
      <x:fill>
        <x:patternFill>
          <x:bgColor rgb="FFF7E883"/>
        </x:patternFill>
      </x:fill>
    </x:dxf>
    <x:dxf>
      <x:fill>
        <x:patternFill>
          <x:bgColor rgb="FFF8696B"/>
        </x:patternFill>
      </x:fill>
    </x:dxf>
    <x:dxf>
      <x:fill>
        <x:patternFill>
          <x:bgColor rgb="FFF96E6C"/>
        </x:patternFill>
      </x:fill>
    </x:dxf>
    <x:dxf>
      <x:fill>
        <x:patternFill>
          <x:bgColor rgb="FFF9736D"/>
        </x:patternFill>
      </x:fill>
    </x:dxf>
    <x:dxf>
      <x:fill>
        <x:patternFill>
          <x:bgColor rgb="FFF9776E"/>
        </x:patternFill>
      </x:fill>
    </x:dxf>
    <x:dxf>
      <x:fill>
        <x:patternFill>
          <x:bgColor rgb="FFFA7D6F"/>
        </x:patternFill>
      </x:fill>
    </x:dxf>
    <x:dxf>
      <x:fill>
        <x:patternFill>
          <x:bgColor rgb="FFFA7E6F"/>
        </x:patternFill>
      </x:fill>
    </x:dxf>
    <x:dxf>
      <x:fill>
        <x:patternFill>
          <x:bgColor rgb="FFFA8571"/>
        </x:patternFill>
      </x:fill>
    </x:dxf>
    <x:dxf>
      <x:fill>
        <x:patternFill>
          <x:bgColor rgb="FFFA8972"/>
        </x:patternFill>
      </x:fill>
    </x:dxf>
    <x:dxf>
      <x:fill>
        <x:patternFill>
          <x:bgColor rgb="FFFA8A72"/>
        </x:patternFill>
      </x:fill>
    </x:dxf>
    <x:dxf>
      <x:fill>
        <x:patternFill>
          <x:bgColor rgb="FFFA8D72"/>
        </x:patternFill>
      </x:fill>
    </x:dxf>
    <x:dxf>
      <x:fill>
        <x:patternFill>
          <x:bgColor rgb="FFFAE983"/>
        </x:patternFill>
      </x:fill>
    </x:dxf>
    <x:dxf>
      <x:fill>
        <x:patternFill>
          <x:bgColor rgb="FFFB9073"/>
        </x:patternFill>
      </x:fill>
    </x:dxf>
    <x:dxf>
      <x:fill>
        <x:patternFill>
          <x:bgColor rgb="FFFB9173"/>
        </x:patternFill>
      </x:fill>
    </x:dxf>
    <x:dxf>
      <x:fill>
        <x:patternFill>
          <x:bgColor rgb="FFFB9374"/>
        </x:patternFill>
      </x:fill>
    </x:dxf>
    <x:dxf>
      <x:fill>
        <x:patternFill>
          <x:bgColor rgb="FFFB9A75"/>
        </x:patternFill>
      </x:fill>
    </x:dxf>
    <x:dxf>
      <x:fill>
        <x:patternFill>
          <x:bgColor rgb="FFFB9E76"/>
        </x:patternFill>
      </x:fill>
    </x:dxf>
    <x:dxf>
      <x:fill>
        <x:patternFill>
          <x:bgColor rgb="FFFB9F76"/>
        </x:patternFill>
      </x:fill>
    </x:dxf>
    <x:dxf>
      <x:fill>
        <x:patternFill>
          <x:bgColor rgb="FFFBE983"/>
        </x:patternFill>
      </x:fill>
    </x:dxf>
    <x:dxf>
      <x:fill>
        <x:patternFill>
          <x:bgColor rgb="FFFCA377"/>
        </x:patternFill>
      </x:fill>
    </x:dxf>
    <x:dxf>
      <x:fill>
        <x:patternFill>
          <x:bgColor rgb="FFFCA477"/>
        </x:patternFill>
      </x:fill>
    </x:dxf>
    <x:dxf>
      <x:fill>
        <x:patternFill>
          <x:bgColor rgb="FFFCA677"/>
        </x:patternFill>
      </x:fill>
    </x:dxf>
    <x:dxf>
      <x:fill>
        <x:patternFill>
          <x:bgColor rgb="FFFCA777"/>
        </x:patternFill>
      </x:fill>
    </x:dxf>
    <x:dxf>
      <x:fill>
        <x:patternFill>
          <x:bgColor rgb="FFFCAA78"/>
        </x:patternFill>
      </x:fill>
    </x:dxf>
    <x:dxf>
      <x:fill>
        <x:patternFill>
          <x:bgColor rgb="FFFCAC78"/>
        </x:patternFill>
      </x:fill>
    </x:dxf>
    <x:dxf>
      <x:fill>
        <x:patternFill>
          <x:bgColor rgb="FFFCAD78"/>
        </x:patternFill>
      </x:fill>
    </x:dxf>
    <x:dxf>
      <x:fill>
        <x:patternFill>
          <x:bgColor rgb="FFFCAD79"/>
        </x:patternFill>
      </x:fill>
    </x:dxf>
    <x:dxf>
      <x:fill>
        <x:patternFill>
          <x:bgColor rgb="FFFCAE79"/>
        </x:patternFill>
      </x:fill>
    </x:dxf>
    <x:dxf>
      <x:fill>
        <x:patternFill>
          <x:bgColor rgb="FFFCB279"/>
        </x:patternFill>
      </x:fill>
    </x:dxf>
    <x:dxf>
      <x:fill>
        <x:patternFill>
          <x:bgColor rgb="FFFCB37A"/>
        </x:patternFill>
      </x:fill>
    </x:dxf>
    <x:dxf>
      <x:fill>
        <x:patternFill>
          <x:bgColor rgb="FFFDB57A"/>
        </x:patternFill>
      </x:fill>
    </x:dxf>
    <x:dxf>
      <x:fill>
        <x:patternFill>
          <x:bgColor rgb="FFFDB67A"/>
        </x:patternFill>
      </x:fill>
    </x:dxf>
    <x:dxf>
      <x:fill>
        <x:patternFill>
          <x:bgColor rgb="FFFDB77A"/>
        </x:patternFill>
      </x:fill>
    </x:dxf>
    <x:dxf>
      <x:fill>
        <x:patternFill>
          <x:bgColor rgb="FFFDBA7B"/>
        </x:patternFill>
      </x:fill>
    </x:dxf>
    <x:dxf>
      <x:fill>
        <x:patternFill>
          <x:bgColor rgb="FFFDBB7B"/>
        </x:patternFill>
      </x:fill>
    </x:dxf>
    <x:dxf>
      <x:fill>
        <x:patternFill>
          <x:bgColor rgb="FFFDBC7B"/>
        </x:patternFill>
      </x:fill>
    </x:dxf>
    <x:dxf>
      <x:fill>
        <x:patternFill>
          <x:bgColor rgb="FFFDBE7C"/>
        </x:patternFill>
      </x:fill>
    </x:dxf>
    <x:dxf>
      <x:fill>
        <x:patternFill>
          <x:bgColor rgb="FFFDBF7C"/>
        </x:patternFill>
      </x:fill>
    </x:dxf>
    <x:dxf>
      <x:fill>
        <x:patternFill>
          <x:bgColor rgb="FFFDC27D"/>
        </x:patternFill>
      </x:fill>
    </x:dxf>
    <x:dxf>
      <x:fill>
        <x:patternFill>
          <x:bgColor rgb="FFFDC37D"/>
        </x:patternFill>
      </x:fill>
    </x:dxf>
    <x:dxf>
      <x:fill>
        <x:patternFill>
          <x:bgColor rgb="FFFDC57D"/>
        </x:patternFill>
      </x:fill>
    </x:dxf>
    <x:dxf>
      <x:fill>
        <x:patternFill>
          <x:bgColor rgb="FFFDC67D"/>
        </x:patternFill>
      </x:fill>
    </x:dxf>
    <x:dxf>
      <x:fill>
        <x:patternFill>
          <x:bgColor rgb="FFFDEA83"/>
        </x:patternFill>
      </x:fill>
    </x:dxf>
    <x:dxf>
      <x:fill>
        <x:patternFill>
          <x:bgColor rgb="FFFEC77D"/>
        </x:patternFill>
      </x:fill>
    </x:dxf>
    <x:dxf>
      <x:fill>
        <x:patternFill>
          <x:bgColor rgb="FFFEC77E"/>
        </x:patternFill>
      </x:fill>
    </x:dxf>
    <x:dxf>
      <x:fill>
        <x:patternFill>
          <x:bgColor rgb="FFFEC87E"/>
        </x:patternFill>
      </x:fill>
    </x:dxf>
    <x:dxf>
      <x:fill>
        <x:patternFill>
          <x:bgColor rgb="FFFEC97E"/>
        </x:patternFill>
      </x:fill>
    </x:dxf>
    <x:dxf>
      <x:fill>
        <x:patternFill>
          <x:bgColor rgb="FFFECA7E"/>
        </x:patternFill>
      </x:fill>
    </x:dxf>
    <x:dxf>
      <x:fill>
        <x:patternFill>
          <x:bgColor rgb="FFFECE7F"/>
        </x:patternFill>
      </x:fill>
    </x:dxf>
    <x:dxf>
      <x:fill>
        <x:patternFill>
          <x:bgColor rgb="FFFECF7F"/>
        </x:patternFill>
      </x:fill>
    </x:dxf>
    <x:dxf>
      <x:fill>
        <x:patternFill>
          <x:bgColor rgb="FFFED17F"/>
        </x:patternFill>
      </x:fill>
    </x:dxf>
    <x:dxf>
      <x:fill>
        <x:patternFill>
          <x:bgColor rgb="FFFED280"/>
        </x:patternFill>
      </x:fill>
    </x:dxf>
    <x:dxf>
      <x:fill>
        <x:patternFill>
          <x:bgColor rgb="FFFED380"/>
        </x:patternFill>
      </x:fill>
    </x:dxf>
    <x:dxf>
      <x:fill>
        <x:patternFill>
          <x:bgColor rgb="FFFED580"/>
        </x:patternFill>
      </x:fill>
    </x:dxf>
    <x:dxf>
      <x:fill>
        <x:patternFill>
          <x:bgColor rgb="FFFED680"/>
        </x:patternFill>
      </x:fill>
    </x:dxf>
    <x:dxf>
      <x:fill>
        <x:patternFill>
          <x:bgColor rgb="FFFED781"/>
        </x:patternFill>
      </x:fill>
    </x:dxf>
    <x:dxf>
      <x:fill>
        <x:patternFill>
          <x:bgColor rgb="FFFFDB81"/>
        </x:patternFill>
      </x:fill>
    </x:dxf>
    <x:dxf>
      <x:fill>
        <x:patternFill>
          <x:bgColor rgb="FFFFDC81"/>
        </x:patternFill>
      </x:fill>
    </x:dxf>
    <x:dxf>
      <x:fill>
        <x:patternFill>
          <x:bgColor rgb="FFFFDC82"/>
        </x:patternFill>
      </x:fill>
    </x:dxf>
    <x:dxf>
      <x:fill>
        <x:patternFill>
          <x:bgColor rgb="FFFFDE82"/>
        </x:patternFill>
      </x:fill>
    </x:dxf>
    <x:dxf>
      <x:fill>
        <x:patternFill>
          <x:bgColor rgb="FFFFE383"/>
        </x:patternFill>
      </x:fill>
    </x:dxf>
    <x:dxf>
      <x:fill>
        <x:patternFill>
          <x:bgColor rgb="FFFFE483"/>
        </x:patternFill>
      </x:fill>
    </x:dxf>
    <x:dxf>
      <x:fill>
        <x:patternFill>
          <x:bgColor rgb="FFFFE784"/>
        </x:patternFill>
      </x:fill>
    </x:dxf>
    <x:dxf>
      <x:fill>
        <x:patternFill>
          <x:bgColor rgb="FFFFE984"/>
        </x:patternFill>
      </x:fill>
    </x:dxf>
    <x:dxf>
      <x:fill>
        <x:patternFill>
          <x:bgColor rgb="FFFCE4D6"/>
        </x:patternFill>
      </x:fill>
    </x:dxf>
    <x:dxf>
      <x:fill>
        <x:patternFill>
          <x:bgColor rgb="FFB23A48"/>
        </x:patternFill>
      </x:fill>
    </x:dxf>
    <x:dxf>
      <x:font>
        <x:b/>
        <x:color rgb="FFB23A48"/>
      </x:font>
      <x:fill>
        <x:patternFill>
          <x:bgColor rgb="FFFCE4D6"/>
        </x:patternFill>
      </x:fill>
    </x:dxf>
    <x:dxf>
      <x:font>
        <x:b/>
        <x:color rgb="FFB23A48"/>
      </x:font>
      <x:fill>
        <x:patternFill>
          <x:bgColor rgb="FFFCE4D6"/>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56082"/>
      <x:rgbColor rgb="FFBFBFBF"/>
      <x:rgbColor rgb="FF8B8B8B"/>
      <x:rgbColor rgb="FF9999FF"/>
      <x:rgbColor rgb="FFB23A48"/>
      <x:rgbColor rgb="FFEEF5FB"/>
      <x:rgbColor rgb="FFD9EAF7"/>
      <x:rgbColor rgb="FF660066"/>
      <x:rgbColor rgb="FFFF8080"/>
      <x:rgbColor rgb="FF0066CC"/>
      <x:rgbColor rgb="FFCCCCCC"/>
      <x:rgbColor rgb="FF000080"/>
      <x:rgbColor rgb="FFFF00FF"/>
      <x:rgbColor rgb="FFFFFF00"/>
      <x:rgbColor rgb="FF00FFFF"/>
      <x:rgbColor rgb="FF800080"/>
      <x:rgbColor rgb="FF800000"/>
      <x:rgbColor rgb="FF2F6B5E"/>
      <x:rgbColor rgb="FF0000FF"/>
      <x:rgbColor rgb="FF00CCFF"/>
      <x:rgbColor rgb="FFE7E6E6"/>
      <x:rgbColor rgb="FFE2F0D9"/>
      <x:rgbColor rgb="FFFCE4D6"/>
      <x:rgbColor rgb="FFD9D9D9"/>
      <x:rgbColor rgb="FFFF99CC"/>
      <x:rgbColor rgb="FFCC99FF"/>
      <x:rgbColor rgb="FFF4B183"/>
      <x:rgbColor rgb="FF2F75B5"/>
      <x:rgbColor rgb="FF33CCCC"/>
      <x:rgbColor rgb="FF99CC00"/>
      <x:rgbColor rgb="FFFFCC00"/>
      <x:rgbColor rgb="FFFF9900"/>
      <x:rgbColor rgb="FFE97132"/>
      <x:rgbColor rgb="FF666666"/>
      <x:rgbColor rgb="FF9EADBA"/>
      <x:rgbColor rgb="FF17365D"/>
      <x:rgbColor rgb="FF339966"/>
      <x:rgbColor rgb="FF003300"/>
      <x:rgbColor rgb="FF234F1E"/>
      <x:rgbColor rgb="FF993300"/>
      <x:rgbColor rgb="FF993366"/>
      <x:rgbColor rgb="FF333399"/>
      <x:rgbColor rgb="FF222222"/>
    </x:indexedColors>
  </x:colors>
</x:styleSheet>
</file>

<file path=xl/_rels/workbook.xml.rels>&#65279;<?xml version="1.0" encoding="utf-8"?><Relationships xmlns="http://schemas.openxmlformats.org/package/2006/relationships"><Relationship Type="http://schemas.openxmlformats.org/officeDocument/2006/relationships/styles" Target="/xl/styles.xml" Id="R0967bc64fd5c41cc" /><Relationship Type="http://schemas.openxmlformats.org/officeDocument/2006/relationships/theme" Target="/xl/theme/theme1.xml" Id="Rd19cf10985e64ab8" /><Relationship Type="http://schemas.microsoft.com/office/2022/11/relationships/FeaturePropertyBag" Target="/xl/featurePropertyBag/featurePropertyBag.xml" Id="R6d83aa4c8aa34c3e" /><Relationship Type="http://schemas.openxmlformats.org/officeDocument/2006/relationships/sharedStrings" Target="/xl/sharedStrings.xml" Id="R2c4a3a420f2b4fe1" /><Relationship Type="http://schemas.openxmlformats.org/officeDocument/2006/relationships/worksheet" Target="/xl/worksheets/sheet1.xml" Id="R8e467e260d124ad8" /><Relationship Type="http://schemas.openxmlformats.org/officeDocument/2006/relationships/worksheet" Target="/xl/worksheets/sheet2.xml" Id="R2e95fb2f8b2c4988" /><Relationship Type="http://schemas.openxmlformats.org/officeDocument/2006/relationships/worksheet" Target="/xl/worksheets/sheet3.xml" Id="R02da1686874d40b0" /><Relationship Type="http://schemas.openxmlformats.org/officeDocument/2006/relationships/worksheet" Target="/xl/worksheets/sheet4.xml" Id="R410b9bb72079406d" /><Relationship Type="http://schemas.openxmlformats.org/officeDocument/2006/relationships/worksheet" Target="/xl/worksheets/sheet5.xml" Id="R10790eb1b12f48fb" /><Relationship Type="http://schemas.openxmlformats.org/officeDocument/2006/relationships/worksheet" Target="/xl/worksheets/sheet6.xml" Id="R8b8c577a661043fd" /><Relationship Type="http://schemas.openxmlformats.org/officeDocument/2006/relationships/worksheet" Target="/xl/worksheets/sheet7.xml" Id="R4aee0d79f8114b21" /><Relationship Type="http://schemas.openxmlformats.org/officeDocument/2006/relationships/worksheet" Target="/xl/worksheets/sheet8.xml" Id="R4daef21afa0446cd" /><Relationship Type="http://schemas.openxmlformats.org/officeDocument/2006/relationships/worksheet" Target="/xl/worksheets/sheet9.xml" Id="Rb0d51e9de4354b7c" /><Relationship Type="http://schemas.openxmlformats.org/officeDocument/2006/relationships/worksheet" Target="/xl/worksheets/sheet10.xml" Id="R4365f55ec57545a1" /><Relationship Type="http://schemas.openxmlformats.org/officeDocument/2006/relationships/worksheet" Target="/xl/worksheets/sheet11.xml" Id="Rb67fd37bb0614932" /><Relationship Type="http://schemas.openxmlformats.org/officeDocument/2006/relationships/worksheet" Target="/xl/worksheets/sheet12.xml" Id="Rb30363fdcdf548a5" /><Relationship Type="http://schemas.openxmlformats.org/officeDocument/2006/relationships/worksheet" Target="/xl/worksheets/sheet13.xml" Id="Rcb28d4b0078a45c4" /><Relationship Type="http://schemas.openxmlformats.org/officeDocument/2006/relationships/worksheet" Target="/xl/worksheets/sheet14.xml" Id="Ra3b49442ce524a53" /></Relationships>
</file>

<file path=xl/drawings/_rels/drawing1.xml.rels>&#65279;<?xml version="1.0" encoding="utf-8"?><Relationships xmlns="http://schemas.openxmlformats.org/package/2006/relationships"><Relationship Type="http://schemas.openxmlformats.org/officeDocument/2006/relationships/chart" Target="/xl/drawings/charts/chart1.xml" Id="R917833dd209846aa" /></Relationships>
</file>

<file path=xl/drawings/_rels/drawing2.xml.rels>&#65279;<?xml version="1.0" encoding="utf-8"?><Relationships xmlns="http://schemas.openxmlformats.org/package/2006/relationships"><Relationship Type="http://schemas.openxmlformats.org/officeDocument/2006/relationships/chart" Target="/xl/drawings/charts/chart2.xml" Id="Rd545e65fb9ab472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rial"/>
                <a:ea typeface="Arial"/>
                <a:cs typeface="Arial"/>
              </a:rPr>
              <a:t>Capture rate and precision</a:t>
            </a:r>
          </a:p>
        </c:rich>
      </c:tx>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title>
    <c:plotArea>
      <c:barChart>
        <c:barDir val="col"/>
        <c:varyColors val="0"/>
        <c:ser>
          <c:idx val="0"/>
          <c:order val="0"/>
          <c:tx>
            <c:v>Capture rate</c:v>
          </c:tx>
          <c:cat>
            <c:strRef>
              <c:f>'Signal Comparison'!$A$5:$A$12</c:f>
              <c:strCache>
                <c:ptCount val="0"/>
              </c:strCache>
            </c:strRef>
          </c:cat>
          <c:val>
            <c:numRef>
              <c:f>'Signal Comparison'!$E$5:$E$12</c:f>
              <c:numCache>
                <c:formatCode>0%</c:formatCode>
                <c:ptCount val="0"/>
              </c:numCache>
            </c:numRef>
          </c:val>
        </c:ser>
        <c:ser>
          <c:idx val="1"/>
          <c:order val="1"/>
          <c:tx>
            <c:v>Precision</c:v>
          </c:tx>
          <c:cat>
            <c:strRef>
              <c:f>'Signal Comparison'!$A$5:$A$12</c:f>
              <c:strCache>
                <c:ptCount val="0"/>
              </c:strCache>
            </c:strRef>
          </c:cat>
          <c:val>
            <c:numRef>
              <c:f>'Signal Comparison'!$G$5:$G$12</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Arial"/>
                <a:ea typeface="Arial"/>
                <a:cs typeface="Arial"/>
              </a:rPr>
              <a:t>Rates rose sharply before the 2023 failures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Arial"/>
              <a:ea typeface="Arial"/>
              <a:cs typeface="Arial"/>
            </a:defRPr>
          </a:pPr>
        </a:p>
      </c:txPr>
    </c:title>
    <c:autoTitleDeleted val="0"/>
    <c:plotArea>
      <c:lineChart>
        <c:grouping val="standard"/>
        <c:varyColors val="0"/>
        <c:ser>
          <c:idx val="0"/>
          <c:order val="0"/>
          <c:tx>
            <c:strRef>
              <c:f>"Effective federal funds rate"</c:f>
              <c:strCache>
                <c:ptCount val="1"/>
                <c:pt idx="0">
                  <c:v>Effective federal funds rate</c:v>
                </c:pt>
              </c:strCache>
            </c:strRef>
          </c:tx>
          <c:spPr>
            <a:solidFill xmlns:a="http://schemas.openxmlformats.org/drawingml/2006/main">
              <a:srgbClr val="156082"/>
            </a:solidFill>
            <a:ln xmlns:a="http://schemas.openxmlformats.org/drawingml/2006/main" w="38160">
              <a:solidFill>
                <a:srgbClr val="156082"/>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'Macro Context'!$A$5:$A$16</c:f>
              <c:strCache>
                <c:ptCount val="12"/>
                <c:pt idx="0">
                  <c:v>2021Q1</c:v>
                </c:pt>
                <c:pt idx="1">
                  <c:v>2021Q2</c:v>
                </c:pt>
                <c:pt idx="2">
                  <c:v>2021Q3</c:v>
                </c:pt>
                <c:pt idx="3">
                  <c:v>2021Q4</c:v>
                </c:pt>
                <c:pt idx="4">
                  <c:v>2022Q1</c:v>
                </c:pt>
                <c:pt idx="5">
                  <c:v>2022Q2</c:v>
                </c:pt>
                <c:pt idx="6">
                  <c:v>2022Q3</c:v>
                </c:pt>
                <c:pt idx="7">
                  <c:v>2022Q4</c:v>
                </c:pt>
                <c:pt idx="8">
                  <c:v>2023Q1</c:v>
                </c:pt>
                <c:pt idx="9">
                  <c:v>2023Q2</c:v>
                </c:pt>
                <c:pt idx="10">
                  <c:v>2023Q3</c:v>
                </c:pt>
                <c:pt idx="11">
                  <c:v>2023Q4</c:v>
                </c:pt>
              </c:strCache>
            </c:strRef>
          </c:cat>
          <c:val>
            <c:numRef>
              <c:f>'Macro Context'!$B$5:$B$16</c:f>
              <c:numCache>
                <c:formatCode>0.00%</c:formatCode>
                <c:ptCount val="12"/>
                <c:pt idx="0">
                  <c:v>0.00077</c:v>
                </c:pt>
                <c:pt idx="1">
                  <c:v>0.00068</c:v>
                </c:pt>
                <c:pt idx="2">
                  <c:v>0.0009</c:v>
                </c:pt>
                <c:pt idx="3">
                  <c:v>0.00079</c:v>
                </c:pt>
                <c:pt idx="4">
                  <c:v>0.00121</c:v>
                </c:pt>
                <c:pt idx="5">
                  <c:v>0.00767</c:v>
                </c:pt>
                <c:pt idx="6">
                  <c:v>0.02183</c:v>
                </c:pt>
                <c:pt idx="7">
                  <c:v>0.03653</c:v>
                </c:pt>
                <c:pt idx="8">
                  <c:v>0.04515</c:v>
                </c:pt>
                <c:pt idx="9">
                  <c:v>0.04988</c:v>
                </c:pt>
                <c:pt idx="10">
                  <c:v>0.05259</c:v>
                </c:pt>
                <c:pt idx="11">
                  <c:v>0.0533</c:v>
                </c:pt>
              </c:numCache>
            </c:numRef>
          </c:val>
          <c:smooth val="0"/>
        </c:ser>
        <c:ser>
          <c:idx val="1"/>
          <c:order val="1"/>
          <c:tx>
            <c:strRef>
              <c:f>"10-year Treasury yield"</c:f>
              <c:strCache>
                <c:ptCount val="1"/>
                <c:pt idx="0">
                  <c:v>10-year Treasury yield</c:v>
                </c:pt>
              </c:strCache>
            </c:strRef>
          </c:tx>
          <c:spPr>
            <a:solidFill xmlns:a="http://schemas.openxmlformats.org/drawingml/2006/main">
              <a:srgbClr val="E97132"/>
            </a:solidFill>
            <a:ln xmlns:a="http://schemas.openxmlformats.org/drawingml/2006/main" w="38160">
              <a:solidFill>
                <a:srgbClr val="E97132"/>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'Macro Context'!$A$5:$A$16</c:f>
              <c:strCache>
                <c:ptCount val="12"/>
                <c:pt idx="0">
                  <c:v>2021Q1</c:v>
                </c:pt>
                <c:pt idx="1">
                  <c:v>2021Q2</c:v>
                </c:pt>
                <c:pt idx="2">
                  <c:v>2021Q3</c:v>
                </c:pt>
                <c:pt idx="3">
                  <c:v>2021Q4</c:v>
                </c:pt>
                <c:pt idx="4">
                  <c:v>2022Q1</c:v>
                </c:pt>
                <c:pt idx="5">
                  <c:v>2022Q2</c:v>
                </c:pt>
                <c:pt idx="6">
                  <c:v>2022Q3</c:v>
                </c:pt>
                <c:pt idx="7">
                  <c:v>2022Q4</c:v>
                </c:pt>
                <c:pt idx="8">
                  <c:v>2023Q1</c:v>
                </c:pt>
                <c:pt idx="9">
                  <c:v>2023Q2</c:v>
                </c:pt>
                <c:pt idx="10">
                  <c:v>2023Q3</c:v>
                </c:pt>
                <c:pt idx="11">
                  <c:v>2023Q4</c:v>
                </c:pt>
              </c:strCache>
            </c:strRef>
          </c:cat>
          <c:val>
            <c:numRef>
              <c:f>'Macro Context'!$C$5:$C$16</c:f>
              <c:numCache>
                <c:formatCode>0.00%</c:formatCode>
                <c:ptCount val="12"/>
                <c:pt idx="0">
                  <c:v>0.01336</c:v>
                </c:pt>
                <c:pt idx="1">
                  <c:v>0.01591</c:v>
                </c:pt>
                <c:pt idx="2">
                  <c:v>0.01325</c:v>
                </c:pt>
                <c:pt idx="3">
                  <c:v>0.01533</c:v>
                </c:pt>
                <c:pt idx="4">
                  <c:v>0.01951</c:v>
                </c:pt>
                <c:pt idx="5">
                  <c:v>0.02933</c:v>
                </c:pt>
                <c:pt idx="6">
                  <c:v>0.03101</c:v>
                </c:pt>
                <c:pt idx="7">
                  <c:v>0.03827</c:v>
                </c:pt>
                <c:pt idx="8">
                  <c:v>0.03646</c:v>
                </c:pt>
                <c:pt idx="9">
                  <c:v>0.03596</c:v>
                </c:pt>
                <c:pt idx="10">
                  <c:v>0.0415</c:v>
                </c:pt>
                <c:pt idx="11">
                  <c:v>0.04447</c:v>
                </c:pt>
              </c:numCache>
            </c:numRef>
          </c:val>
          <c:smooth val="0"/>
        </c:ser>
        <c:axId val="26604821"/>
        <c:axId val="68270611"/>
      </c:lineChart>
      <c:catAx>
        <c:axId val="26604821"/>
        <c:scaling>
          <c:orientation val="minMax"/>
        </c:scaling>
        <c:delete val="0"/>
        <c:axPos val="b"/>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675" b="0" strike="noStrike" spc="-1">
                <a:solidFill>
                  <a:srgbClr val="000000"/>
                </a:solidFill>
                <a:latin typeface="Arial"/>
                <a:ea typeface="Arial"/>
                <a:cs typeface="Arial"/>
              </a:defRPr>
            </a:pPr>
          </a:p>
        </c:txPr>
        <c:crossAx val="68270611"/>
        <c:crosses val="autoZero"/>
        <c:lblAlgn val="ctr"/>
        <c:noMultiLvlLbl val="0"/>
        <c:lblOffset val="100"/>
      </c:catAx>
      <c:valAx>
        <c:axId val="68270611"/>
        <c:scaling>
          <c:orientation val="minMax"/>
        </c:scaling>
        <c:delete val="0"/>
        <c:axPos val="l"/>
        <c:majorGridlines>
          <c:spPr>
            <a:ln xmlns:a="http://schemas.openxmlformats.org/drawingml/2006/main" w="9360">
              <a:solidFill>
                <a:srgbClr val="CCCCCC"/>
              </a:solidFill>
              <a:prstDash val="dash"/>
            </a:ln>
          </c:spPr>
        </c:majorGridlines>
        <c:numFmt formatCode="0.0%"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Arial"/>
                <a:ea typeface="Arial"/>
                <a:cs typeface="Arial"/>
              </a:defRPr>
            </a:pPr>
          </a:p>
        </c:txPr>
        <c:crossAx val="26604821"/>
        <c:crosses val="autoZero"/>
        <c:crossBetween val="between"/>
      </c:valAx>
      <c:spPr>
        <a:noFill xmlns:a="http://schemas.openxmlformats.org/drawingml/2006/main"/>
        <a:ln xmlns:a="http://schemas.openxmlformats.org/drawingml/2006/main" w="0">
          <a:noFill/>
        </a:ln>
      </c:spPr>
    </c:plotArea>
    <c:legend>
      <c:legendPos val="t"/>
      <c:overlay val="0"/>
      <c:spPr>
        <a:noFill xmlns:a="http://schemas.openxmlformats.org/drawingml/2006/mai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Arial"/>
              <a:ea typeface="Arial"/>
              <a:cs typeface="Arial"/>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17833dd209846aa"/>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3</xdr:row>
      <xdr:rowOff>0</xdr:rowOff>
    </xdr:from>
    <xdr:to>
      <xdr:col>13</xdr:col>
      <xdr:colOff>611280</xdr:colOff>
      <xdr:row>19</xdr:row>
      <xdr:rowOff>190080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5e65fb9ab4728"/>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9" name="FailedProfilesV3Table" displayName="FailedProfilesV3Table" ref="A4:P7" headerRowCount="1" totalsRowCount="0" totalsRowShown="0">
  <x:tableColumns count="16">
    <x:tableColumn id="1" name="Institution"/>
    <x:tableColumn id="2" name="FDIC Cert"/>
    <x:tableColumn id="3" name="Failure date"/>
    <x:tableColumn id="4" name="Assets ($bn)"/>
    <x:tableColumn id="5" name="Capital / assets"/>
    <x:tableColumn id="6" name="Cash / assets"/>
    <x:tableColumn id="7" name="Securities / assets"/>
    <x:tableColumn id="8" name="MTM gap / equity"/>
    <x:tableColumn id="9" name="Uninsured deposits / deposits"/>
    <x:tableColumn id="10" name="Noncurrent loans / loans"/>
    <x:tableColumn id="11" name="Rate score"/>
    <x:tableColumn id="12" name="Funding score"/>
    <x:tableColumn id="13" name="Credit score"/>
    <x:tableColumn id="14" name="Baseline rank"/>
    <x:tableColumn id="15" name="Trigger rank"/>
    <x:tableColumn id="16" name="Trigger score"/>
  </x:tableColumns>
  <x:tableStyleInfo name="TableStyleMedium2" showFirstColumn="0" showLastColumn="0" showRowStripes="1" showColumnStripes="0"/>
</x:table>
</file>

<file path=xl/tables/table2.xml><?xml version="1.0" encoding="utf-8"?>
<x:table xmlns:x="http://schemas.openxmlformats.org/spreadsheetml/2006/main" id="10" name="SignalComparisonV3Table" displayName="SignalComparisonV3Table" ref="A4:H12" headerRowCount="1" totalsRowCount="0" totalsRowShown="0">
  <x:tableColumns count="8">
    <x:tableColumn id="1" name="Signal"/>
    <x:tableColumn id="2" name="Top-decile institutions"/>
    <x:tableColumn id="3" name="Failures in sample"/>
    <x:tableColumn id="4" name="Failures captured"/>
    <x:tableColumn id="5" name="Capture rate"/>
    <x:tableColumn id="6" name="False positives"/>
    <x:tableColumn id="7" name="Precision"/>
    <x:tableColumn id="8" name="False-positive share"/>
  </x:tableColumns>
  <x:tableStyleInfo name="TableStyleMedium2" showFirstColumn="0" showLastColumn="0" showRowStripes="1" showColumnStripes="0"/>
</x:table>
</file>

<file path=xl/tables/table3.xml><?xml version="1.0" encoding="utf-8"?>
<x:table xmlns:x="http://schemas.openxmlformats.org/spreadsheetml/2006/main" id="11" name="CohortSummaryV3Table" displayName="CohortSummaryV3Table" ref="A4:G20" headerRowCount="1" totalsRowCount="0" totalsRowShown="0">
  <x:tableColumns count="7">
    <x:tableColumn id="1" name="Metric"/>
    <x:tableColumn id="2" name="Cohort"/>
    <x:tableColumn id="3" name="Count"/>
    <x:tableColumn id="4" name="Median"/>
    <x:tableColumn id="5" name="Mean"/>
    <x:tableColumn id="6" name="25th percentile"/>
    <x:tableColumn id="7" name="75th percentile"/>
  </x:tableColumns>
  <x:tableStyleInfo name="TableStyleMedium2" showFirstColumn="0" showLastColumn="0" showRowStripes="1" showColumnStripes="0"/>
</x:table>
</file>

<file path=xl/tables/table4.xml><?xml version="1.0" encoding="utf-8"?>
<x:table xmlns:x="http://schemas.openxmlformats.org/spreadsheetml/2006/main" id="8" name="PeerMetricsFilingTable" displayName="PeerMetricsFilingTable" ref="A4:T153" headerRowCount="1" totalsRowCount="0" totalsRowShown="0">
  <x:tableColumns count="20">
    <x:tableColumn id="1" name="Institution"/>
    <x:tableColumn id="2" name="2023 outcome group"/>
    <x:tableColumn id="3" name="Assets ($bn)"/>
    <x:tableColumn id="4" name="Capital / assets"/>
    <x:tableColumn id="5" name="Cash / assets"/>
    <x:tableColumn id="6" name="Securities / assets"/>
    <x:tableColumn id="7" name="Securities MTM gap / equity"/>
    <x:tableColumn id="8" name="Uninsured deposits / deposits"/>
    <x:tableColumn id="9" name="Noncurrent loans / loans"/>
    <x:tableColumn id="10" name="Rate score"/>
    <x:tableColumn id="11" name="Funding score"/>
    <x:tableColumn id="12" name="Credit score"/>
    <x:tableColumn id="13" name="Rate-funding interaction"/>
    <x:tableColumn id="14" name="Baseline score"/>
    <x:tableColumn id="15" name="Baseline rank"/>
    <x:tableColumn id="16" name="Trigger score"/>
    <x:tableColumn id="17" name="Trigger rank"/>
    <x:tableColumn id="18" name="Failed in 2023"/>
    <x:tableColumn id="19" name="Failure date"/>
    <x:tableColumn id="20" name="Other-peer trigger score (summary helper)"/>
  </x:tableColumns>
  <x:tableStyleInfo name="TableStyleMedium2" showFirstColumn="0" showLastColumn="0" showRowStripes="1" showColumnStripes="0"/>
</x:table>
</file>

<file path=xl/tables/table5.xml><?xml version="1.0" encoding="utf-8"?>
<x:table xmlns:x="http://schemas.openxmlformats.org/spreadsheetml/2006/main" id="12" name="WeightSensitivityV3Table" displayName="WeightSensitivityV3Table" ref="A4:E19" headerRowCount="1" totalsRowCount="0" totalsRowShown="0">
  <x:tableColumns count="5">
    <x:tableColumn id="1" name="Scenario"/>
    <x:tableColumn id="2" name="Institution"/>
    <x:tableColumn id="3" name="Rank"/>
    <x:tableColumn id="4" name="Top decile"/>
    <x:tableColumn id="5" name="Score"/>
  </x:tableColumns>
  <x:tableStyleInfo name="TableStyleMedium2" showFirstColumn="0" showLastColumn="0" showRowStripes="1" showColumnStripes="0"/>
</x:table>
</file>

<file path=xl/tables/table6.xml><?xml version="1.0" encoding="utf-8"?>
<x:table xmlns:x="http://schemas.openxmlformats.org/spreadsheetml/2006/main" id="14" name="MacroContextV3Table" displayName="MacroContextV3Table" ref="A4:D16" headerRowCount="1" totalsRowCount="0" totalsRowShown="0">
  <x:tableColumns count="4">
    <x:tableColumn id="1" name="Quarter"/>
    <x:tableColumn id="2" name="Effective federal funds rate"/>
    <x:tableColumn id="3" name="10-year Treasury yield"/>
    <x:tableColumn id="4" name="Fed funds change from 2021Q4 (pp)"/>
  </x:tableColumns>
  <x:tableStyleInfo name="TableStyleMedium2" showFirstColumn="0" showLastColumn="0" showRowStripes="1" showColumnStripes="0"/>
</x:table>
</file>

<file path=xl/tables/table7.xml><?xml version="1.0" encoding="utf-8"?>
<x:table xmlns:x="http://schemas.openxmlformats.org/spreadsheetml/2006/main" id="13" name="SourcesV3Table" displayName="SourcesV3Table" ref="A4:D14" headerRowCount="1" totalsRowCount="0" totalsRowShown="0">
  <x:tableColumns count="4">
    <x:tableColumn id="1" name="Source"/>
    <x:tableColumn id="2" name="Use"/>
    <x:tableColumn id="3" name="URL / relative path"/>
    <x:tableColumn id="4" name="Access 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table" Target="/xl/tables/table1.xml" Id="Rd03645c606444e18" /></Relationships>
</file>

<file path=xl/worksheets/_rels/sheet8.xml.rels>&#65279;<?xml version="1.0" encoding="utf-8"?><Relationships xmlns="http://schemas.openxmlformats.org/package/2006/relationships"><Relationship Type="http://schemas.openxmlformats.org/officeDocument/2006/relationships/drawing" Target="/xl/drawings/drawing1.xml" Id="R031691513b22431f" /><Relationship Type="http://schemas.openxmlformats.org/officeDocument/2006/relationships/table" Target="/xl/tables/table2.xml" Id="R830671f861fc469b" /></Relationships>
</file>

<file path=xl/worksheets/_rels/sheet9.xml.rels>&#65279;<?xml version="1.0" encoding="utf-8"?><Relationships xmlns="http://schemas.openxmlformats.org/package/2006/relationships"><Relationship Type="http://schemas.openxmlformats.org/officeDocument/2006/relationships/table" Target="/xl/tables/table3.xml" Id="R40fec28c294544be" /></Relationships>
</file>

<file path=xl/worksheets/_rels/sheet10.xml.rels>&#65279;<?xml version="1.0" encoding="utf-8"?><Relationships xmlns="http://schemas.openxmlformats.org/package/2006/relationships"><Relationship Type="http://schemas.openxmlformats.org/officeDocument/2006/relationships/table" Target="/xl/tables/table4.xml" Id="R7fca1db1e57a4c3d" /></Relationships>
</file>

<file path=xl/worksheets/_rels/sheet11.xml.rels>&#65279;<?xml version="1.0" encoding="utf-8"?><Relationships xmlns="http://schemas.openxmlformats.org/package/2006/relationships"><Relationship Type="http://schemas.openxmlformats.org/officeDocument/2006/relationships/table" Target="/xl/tables/table5.xml" Id="Raa2f1c47509f40f2" /></Relationships>
</file>

<file path=xl/worksheets/_rels/sheet12.xml.rels>&#65279;<?xml version="1.0" encoding="utf-8"?><Relationships xmlns="http://schemas.openxmlformats.org/package/2006/relationships"><Relationship Type="http://schemas.openxmlformats.org/officeDocument/2006/relationships/drawing" Target="/xl/drawings/drawing2.xml" Id="Rf68da80d99f948d4" /><Relationship Type="http://schemas.openxmlformats.org/officeDocument/2006/relationships/table" Target="/xl/tables/table6.xml" Id="R838a9142de304e99" /></Relationships>
</file>

<file path=xl/worksheets/_rels/sheet14.xml.rels>&#65279;<?xml version="1.0" encoding="utf-8"?><Relationships xmlns="http://schemas.openxmlformats.org/package/2006/relationships"><Relationship Type="http://schemas.openxmlformats.org/officeDocument/2006/relationships/table" Target="/xl/tables/table7.xml" Id="Raa690ddc36ef4727" /></Relationships>
</file>

<file path=xl/worksheets/sheet1.xml><?xml version="1.0" encoding="utf-8"?>
<x:worksheet xmlns:x="http://schemas.openxmlformats.org/spreadsheetml/2006/main">
  <x:sheetViews>
    <x:sheetView showGridLines="0" workbookViewId="0"/>
  </x:sheetViews>
  <x:sheetFormatPr defaultColWidth="8.6796875" defaultRowHeight="15"/>
  <x:cols>
    <x:col min="1" max="1" width="30" style="1" hidden="0" customWidth="1"/>
    <x:col min="2" max="4" width="40" style="1" hidden="0" customWidth="1"/>
  </x:cols>
  <x:sheetData>
    <x:row r="1" ht="30" hidden="0" customHeight="1">
      <x:c r="A1" s="2" t="s">
        <x:v>0</x:v>
      </x:c>
      <x:c r="B1" s="2"/>
      <x:c r="C1" s="2"/>
      <x:c r="D1" s="2"/>
    </x:row>
    <x:row r="2" ht="31.5" hidden="0" customHeight="1">
      <x:c r="A2" s="3" t="s">
        <x:v>1</x:v>
      </x:c>
      <x:c r="B2" s="3"/>
      <x:c r="C2" s="3"/>
      <x:c r="D2" s="3"/>
    </x:row>
    <x:row r="4" ht="15" hidden="0">
      <x:c r="A4" s="4" t="s">
        <x:v>2</x:v>
      </x:c>
      <x:c r="B4" s="4"/>
      <x:c r="C4" s="4"/>
      <x:c r="D4" s="4"/>
    </x:row>
    <x:row r="5" ht="61.5" hidden="0" customHeight="1">
      <x:c r="A5" s="5" t="s">
        <x:v>3</x:v>
      </x:c>
      <x:c r="B5" s="5"/>
      <x:c r="C5" s="5"/>
      <x:c r="D5" s="5"/>
    </x:row>
    <x:row r="7" ht="15" hidden="0">
      <x:c r="A7" s="4" t="s">
        <x:v>4</x:v>
      </x:c>
      <x:c r="B7" s="4"/>
      <x:c r="C7" s="4"/>
      <x:c r="D7" s="4"/>
    </x:row>
    <x:row r="8" ht="57.75" hidden="0" customHeight="1">
      <x:c r="A8" s="120" t="str">
        <x:v>Feasibility</x:v>
      </x:c>
      <x:c r="B8" s="77" t="str">
        <x:v>A reproducible public-data pipeline can build the proposed measures for the defined bank sample without proprietary employer data.</x:v>
      </x:c>
      <x:c r="C8" s="77" t="str">
        <x:v>See Peer Metrics, Methodology, and Sources.</x:v>
      </x:c>
      <x:c r="D8" s="7"/>
    </x:row>
    <x:row r="9" ht="57.75" hidden="0" customHeight="1">
      <x:c r="A9" s="120" t="str">
        <x:v>A corrected historical diagnostic</x:v>
      </x:c>
      <x:c r="B9" s="77" t="str">
        <x:v>After enforcing the asset filter before scoring, the three 2023 failures rank in the top 15. The trigger was designed after reviewing 2023, so the result is in-sample.</x:v>
      </x:c>
      <x:c r="C9" s="77" t="str">
        <x:v>See Executive Summary and Robustness Check.</x:v>
      </x:c>
      <x:c r="D9" s="7"/>
    </x:row>
    <x:row r="10" ht="57.75" hidden="0" customHeight="1">
      <x:c r="A10" s="120" t="str">
        <x:v>The most important limitation</x:v>
      </x:c>
      <x:c r="B10" s="77" t="str">
        <x:v>Uninsured-deposit concentration alone also captured all three failures. The integrated score flagged 12 nonfailures. This workbook does not show that integration is superior.</x:v>
      </x:c>
      <x:c r="C10" s="77" t="str">
        <x:v>See Robustness Check and Review Findings.</x:v>
      </x:c>
      <x:c r="D10" s="7"/>
    </x:row>
    <x:row r="11" ht="72" hidden="0" customHeight="1">
      <x:c r="A11" s="120" t="str">
        <x:v>A testable next step</x:v>
      </x:c>
      <x:c r="B11" s="77" t="str">
        <x:v>Version 1.0.1 was frozen and independently timestamped on October 8, 2026 (https://doi.org/10.5281/zenodo.23246551). The unchanged specification will be evaluated in the 2008-2011 and 2019-2020 historical tests and in a prospective test.</x:v>
      </x:c>
      <x:c r="C11" s="77" t="str">
        <x:v>See Validation Roadmap and Milestones.</x:v>
      </x:c>
      <x:c r="D11" s="77"/>
    </x:row>
    <x:row r="13" ht="15" hidden="0">
      <x:c r="A13" s="4" t="s">
        <x:v>5</x:v>
      </x:c>
      <x:c r="B13" s="4"/>
      <x:c r="C13" s="4"/>
      <x:c r="D13" s="4"/>
    </x:row>
    <x:row r="14" ht="45.75" hidden="0" customHeight="1">
      <x:c r="A14" s="120" t="str">
        <x:v>Prong 1: merit and national importance</x:v>
      </x:c>
      <x:c r="B14" s="77" t="str">
        <x:v>Bank stress can involve interacting valuation, funding, liquidity, credit, and capital channels. If validated and disseminated, a transferable public-data method could help banks identify emerging concentrations. This workbook establishes feasibility only, not national importance by itself.</x:v>
      </x:c>
      <x:c r="C14" s="77"/>
      <x:c r="D14" s="77"/>
    </x:row>
    <x:row r="15" ht="45.75" hidden="0" customHeight="1">
      <x:c r="A15" s="120" t="str">
        <x:v>Prong 2: well positioned</x:v>
      </x:c>
      <x:c r="B15" s="77" t="str">
        <x:v>This dated workbook, corrected code, cached sources, explicit limitations, and pre-stated validation plan document concrete progress toward the endeavor. They should be considered with the petitioner's professional record and independent evidence.</x:v>
      </x:c>
      <x:c r="C15" s="77"/>
      <x:c r="D15" s="77"/>
    </x:row>
    <x:row r="16" ht="45.75" hidden="0" customHeight="1">
      <x:c r="A16" s="120" t="str">
        <x:v>Prong 3: balance of factors</x:v>
      </x:c>
      <x:c r="B16" s="77" t="str">
        <x:v>The planned research, templates, publications, and training are designed for use beyond a single employer. The petition must separately establish that, on balance, waiving the job-offer and labor-certification requirements would benefit the United States.</x:v>
      </x:c>
      <x:c r="C16" s="77"/>
      <x:c r="D16" s="77"/>
    </x:row>
    <x:row r="18" ht="15" hidden="0">
      <x:c r="A18" s="4" t="s">
        <x:v>6</x:v>
      </x:c>
      <x:c r="B18" s="4"/>
      <x:c r="C18" s="4"/>
      <x:c r="D18" s="4"/>
    </x:row>
    <x:row r="19" ht="15" hidden="0">
      <x:c r="A19" s="8" t="s">
        <x:v>7</x:v>
      </x:c>
      <x:c r="B19" s="8" t="s">
        <x:v>8</x:v>
      </x:c>
      <x:c r="C19" s="8" t="s">
        <x:v>9</x:v>
      </x:c>
      <x:c r="D19" s="8" t="s">
        <x:v>10</x:v>
      </x:c>
    </x:row>
    <x:row r="20" ht="43.5" hidden="0" customHeight="1">
      <x:c r="A20" s="77" t="str">
        <x:v>analysis.py and cached raw FDIC/FRED files</x:v>
      </x:c>
      <x:c r="B20" s="77" t="str">
        <x:v>Included in the support package</x:v>
      </x:c>
      <x:c r="C20" s="77" t="str">
        <x:v>Retain with the workbook and verify checksums</x:v>
      </x:c>
      <x:c r="D20" s="77" t="str">
        <x:v>Reproducible source record</x:v>
      </x:c>
    </x:row>
    <x:row r="21" ht="24" hidden="0" customHeight="1">
      <x:c r="A21" s="77" t="str">
        <x:v>Public code repository</x:v>
      </x:c>
      <x:c r="B21" s="77" t="str">
        <x:v>Completed - version 1.0.1 released October 8, 2026</x:v>
      </x:c>
      <x:c r="C21" s="77" t="str">
        <x:v>Maintain versioned releases and the DOI archive (https://doi.org/10.5281/zenodo.23246551)</x:v>
      </x:c>
      <x:c r="D21" s="77" t="str">
        <x:v>Independent timestamp and version history</x:v>
      </x:c>
    </x:row>
    <x:row r="22" ht="43.5" hidden="0" customHeight="1">
      <x:c r="A22" s="77" t="str">
        <x:v>Asset-band filter</x:v>
      </x:c>
      <x:c r="B22" s="77" t="str">
        <x:v>Corrected before percentile scoring</x:v>
      </x:c>
      <x:c r="C22" s="77" t="str">
        <x:v>Retain the local validation check for 149 banks</x:v>
      </x:c>
      <x:c r="D22" s="77" t="str">
        <x:v>Accurate and reproducible peer group</x:v>
      </x:c>
    </x:row>
    <x:row r="23" ht="43.5" hidden="0" customHeight="1">
      <x:c r="A23" s="77" t="str">
        <x:v>Personal-time and public-data confirmation</x:v>
      </x:c>
      <x:c r="B23" s="77" t="str">
        <x:v>User confirmation required</x:v>
      </x:c>
      <x:c r="C23" s="77" t="str">
        <x:v>Document that no employer data, systems, or confidential methods were used</x:v>
      </x:c>
      <x:c r="D23" s="77" t="str">
        <x:v>Clear separation from employer work</x:v>
      </x:c>
    </x:row>
    <x:row r="24" ht="43.5" hidden="0" customHeight="1">
      <x:c r="A24" s="77" t="str">
        <x:v>Employer outside-activity approval</x:v>
      </x:c>
      <x:c r="B24" s="77" t="str">
        <x:v>User confirmation required</x:v>
      </x:c>
      <x:c r="C24" s="77" t="str">
        <x:v>Confirm applicable employer policy before public dissemination</x:v>
      </x:c>
      <x:c r="D24" s="77" t="str">
        <x:v>Conflict-of-interest control</x:v>
      </x:c>
    </x:row>
    <x:row r="25" ht="43.5" hidden="0" customHeight="1">
      <x:c r="A25" s="77" t="str">
        <x:v>Peer anonymization for filing</x:v>
      </x:c>
      <x:c r="B25" s="77" t="str">
        <x:v>Completed in this workbook</x:v>
      </x:c>
      <x:c r="C25" s="77" t="str">
        <x:v>Keep the named working copy separate from the filed exhibit</x:v>
      </x:c>
      <x:c r="D25" s="77" t="str">
        <x:v>No named ranking of operating nonfailed banks</x:v>
      </x:c>
    </x:row>
  </x:sheetData>
  <x:mergeCells>
    <x:mergeCell ref="A1:D1"/>
    <x:mergeCell ref="A2:D2"/>
    <x:mergeCell ref="A4:D4"/>
    <x:mergeCell ref="A5:D5"/>
    <x:mergeCell ref="A7:D7"/>
    <x:mergeCell ref="C8:D8"/>
    <x:mergeCell ref="C9:D9"/>
    <x:mergeCell ref="C10:D10"/>
    <x:mergeCell ref="C11:D11"/>
    <x:mergeCell ref="A13:D13"/>
    <x:mergeCell ref="B14:D14"/>
    <x:mergeCell ref="B15:D15"/>
    <x:mergeCell ref="B16:D16"/>
    <x:mergeCell ref="A18:D18"/>
  </x:mergeCells>
  <x:pageMargins left="0.7" right="0.7" top="0.75" bottom="0.75" header="0.3" footer="0.3"/>
</x:worksheet>
</file>

<file path=xl/worksheets/sheet2.xml><?xml version="1.0" encoding="utf-8"?>
<x:worksheet xmlns:x="http://schemas.openxmlformats.org/spreadsheetml/2006/main">
  <x:sheetPr>
    <x:tabColor rgb="FF17365D"/>
  </x:sheetPr>
  <x:sheetViews>
    <x:sheetView showGridLines="0" workbookViewId="0">
      <x:pane ySplit="2" topLeftCell="A3" activePane="bottomLeft" state="frozen"/>
    </x:sheetView>
  </x:sheetViews>
  <x:sheetFormatPr defaultColWidth="8.6796875" defaultRowHeight="15"/>
  <x:cols>
    <x:col min="1" max="1" width="28" style="1" hidden="0" customWidth="1"/>
    <x:col min="2" max="2" width="18" style="1" hidden="0" customWidth="1"/>
    <x:col min="3" max="3" width="3" style="1" hidden="0" customWidth="1"/>
    <x:col min="4" max="4" width="35" style="1" hidden="0" customWidth="1"/>
    <x:col min="5" max="5" width="17" style="1" hidden="0" customWidth="1"/>
    <x:col min="6" max="6" width="3" style="1" hidden="0" customWidth="1"/>
  </x:cols>
  <x:sheetData>
    <x:row r="1" ht="31.5" hidden="0" customHeight="1">
      <x:c r="A1" s="9" t="s">
        <x:v>11</x:v>
      </x:c>
      <x:c r="B1" s="9"/>
      <x:c r="C1" s="9"/>
      <x:c r="D1" s="9"/>
      <x:c r="E1" s="9"/>
      <x:c r="F1" s="9"/>
    </x:row>
    <x:row r="2" ht="33.75" hidden="0" customHeight="1">
      <x:c r="A2" s="10" t="s">
        <x:v>12</x:v>
      </x:c>
      <x:c r="B2" s="10"/>
      <x:c r="C2" s="10"/>
      <x:c r="D2" s="10"/>
      <x:c r="E2" s="10"/>
      <x:c r="F2" s="10"/>
    </x:row>
    <x:row r="4" ht="15" hidden="0">
      <x:c r="A4" s="11" t="s">
        <x:v>13</x:v>
      </x:c>
      <x:c r="B4" s="11"/>
      <x:c r="D4" s="11" t="s">
        <x:v>14</x:v>
      </x:c>
      <x:c r="E4" s="11"/>
      <x:c r="F4" s="11"/>
    </x:row>
    <x:row r="5" ht="15" hidden="0">
      <x:c r="A5" s="12" t="s">
        <x:v>15</x:v>
      </x:c>
      <x:c r="B5" s="13" t="s">
        <x:v>16</x:v>
      </x:c>
      <x:c r="D5" s="12" t="s">
        <x:v>17</x:v>
      </x:c>
      <x:c r="E5" s="14" t="n">
        <x:f aca="0">'Robustness Check'!G11</x:f>
        <x:v>3</x:v>
      </x:c>
    </x:row>
    <x:row r="6" ht="15" hidden="0">
      <x:c r="A6" s="12" t="s">
        <x:v>18</x:v>
      </x:c>
      <x:c r="B6" s="13" t="s">
        <x:v>19</x:v>
      </x:c>
      <x:c r="D6" s="12" t="s">
        <x:v>20</x:v>
      </x:c>
      <x:c r="E6" s="14" t="n">
        <x:f aca="0">'Robustness Check'!G12</x:f>
        <x:v>1</x:v>
      </x:c>
    </x:row>
    <x:row r="7" ht="15" hidden="0">
      <x:c r="A7" s="12" t="s">
        <x:v>21</x:v>
      </x:c>
      <x:c r="B7" s="14" t="n">
        <x:f aca="0">COUNTA('Peer Metrics'!A5:A153)</x:f>
        <x:v>149</x:v>
      </x:c>
      <x:c r="D7" s="12" t="s">
        <x:v>22</x:v>
      </x:c>
      <x:c r="E7" s="110" t="n">
        <x:f>MEDIAN(INDEX('Peer Metrics'!P5:P153,MATCH('Failed Bank Profiles'!A5,'Peer Metrics'!A5:A153,0)),INDEX('Peer Metrics'!P5:P153,MATCH('Failed Bank Profiles'!A6,'Peer Metrics'!A5:A153,0)),INDEX('Peer Metrics'!P5:P153,MATCH('Failed Bank Profiles'!A7,'Peer Metrics'!A5:A153,0)))</x:f>
        <x:v>78.26600796580571</x:v>
      </x:c>
    </x:row>
    <x:row r="8" ht="15" hidden="0">
      <x:c r="A8" s="12" t="s">
        <x:v>23</x:v>
      </x:c>
      <x:c r="B8" s="14" t="n">
        <x:f aca="0">COUNTA('Failed Bank Profiles'!A5:A7)</x:f>
        <x:v>3</x:v>
      </x:c>
      <x:c r="D8" s="12" t="s">
        <x:v>24</x:v>
      </x:c>
      <x:c r="E8" s="110" t="n">
        <x:f>MEDIAN('Peer Metrics'!T5:T153)</x:f>
        <x:v>56.14124808112413</x:v>
      </x:c>
    </x:row>
    <x:row r="9" ht="15" hidden="0">
      <x:c r="A9" s="12" t="s">
        <x:v>25</x:v>
      </x:c>
      <x:c r="B9" s="14" t="n">
        <x:f aca="0">'Robustness Check'!F11</x:f>
        <x:v>15</x:v>
      </x:c>
      <x:c r="D9" s="12" t="s">
        <x:v>26</x:v>
      </x:c>
      <x:c r="E9" s="16" t="n">
        <x:v>0.03653</x:v>
      </x:c>
    </x:row>
    <x:row r="10" ht="15" hidden="0">
      <x:c r="A10" s="12" t="str">
        <x:v>Banks with complete trigger scores</x:v>
      </x:c>
      <x:c r="B10" s="14" t="n">
        <x:f>COUNT('Peer Metrics'!P5:P153)</x:f>
        <x:v>144</x:v>
      </x:c>
      <x:c r="D10" t="str">
        <x:v>Trigger-score false positives</x:v>
      </x:c>
      <x:c r="E10" t="n">
        <x:f>'Robustness Check'!I11</x:f>
        <x:v>12</x:v>
      </x:c>
    </x:row>
    <x:row r="11">
      <x:c r="D11" t="str">
        <x:v>Precision among top-decile flags</x:v>
      </x:c>
      <x:c r="E11" s="111" t="n">
        <x:f>'Robustness Check'!J11</x:f>
        <x:v>0.2</x:v>
      </x:c>
    </x:row>
    <x:row r="12" ht="15" hidden="0">
      <x:c r="A12" s="11" t="s">
        <x:v>27</x:v>
      </x:c>
      <x:c r="B12" s="11"/>
      <x:c r="C12" s="11"/>
      <x:c r="D12" s="11"/>
      <x:c r="E12" s="11"/>
      <x:c r="F12" s="11"/>
    </x:row>
    <x:row r="13" ht="44" hidden="0" customHeight="1">
      <x:c r="A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B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C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D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E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F13" s="17"/>
    </x:row>
    <x:row r="14" ht="44" hidden="0" customHeight="1">
      <x:c r="A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B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C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D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E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F14" s="17"/>
    </x:row>
    <x:row r="16" ht="15" hidden="0">
      <x:c r="A16" s="11" t="s">
        <x:v>28</x:v>
      </x:c>
      <x:c r="B16" s="11"/>
      <x:c r="C16" s="11"/>
      <x:c r="D16" s="11"/>
      <x:c r="E16" s="11"/>
      <x:c r="F16" s="11"/>
    </x:row>
    <x:row r="17" ht="42" hidden="0" customHeight="1">
      <x:c r="A17" s="113" t="str">
        <x:v>The trigger and weights were selected after reviewing 2023. The result is in-sample, has an 80% false-positive share among top-decile flags, and does not establish causation or predictive accuracy. The unchanged specification was frozen and independently timestamped as version 1.0.1 on October 8, 2026 (https://doi.org/10.5281/zenodo.23246551) before the planned historical holdout and prospective tests.</x:v>
      </x:c>
      <x:c r="B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C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D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E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F17" s="18"/>
    </x:row>
    <x:row r="18" ht="33.75" hidden="0" customHeight="1">
      <x:c r="A18" s="18"/>
      <x:c r="B18" s="18"/>
      <x:c r="C18" s="18"/>
      <x:c r="D18" s="18"/>
      <x:c r="E18" s="18"/>
      <x:c r="F18" s="18"/>
    </x:row>
  </x:sheetData>
  <x:mergeCells>
    <x:mergeCell ref="A1:F1"/>
    <x:mergeCell ref="A2:F2"/>
    <x:mergeCell ref="A4:B4"/>
    <x:mergeCell ref="D4:F4"/>
    <x:mergeCell ref="A12:F12"/>
    <x:mergeCell ref="A13:F14"/>
    <x:mergeCell ref="A16:F16"/>
    <x:mergeCell ref="A17:F18"/>
  </x:mergeCells>
  <x:pageMargins left="0.7" right="0.7" top="0.75" bottom="0.75" header="0.3" footer="0.3"/>
</x:worksheet>
</file>

<file path=xl/worksheets/sheet3.xml><?xml version="1.0" encoding="utf-8"?>
<x:worksheet xmlns:x="http://schemas.openxmlformats.org/spreadsheetml/2006/main">
  <x:sheetViews>
    <x:sheetView showGridLines="1" workbookViewId="0">
      <x:pane ySplit="10" topLeftCell="A11" activePane="bottomLeft" state="frozen"/>
    </x:sheetView>
  </x:sheetViews>
  <x:sheetFormatPr defaultColWidth="8.6796875" defaultRowHeight="15"/>
  <x:cols>
    <x:col min="1" max="1" width="42" style="1" hidden="0" customWidth="1"/>
    <x:col min="2" max="8" width="12" style="1" hidden="0" customWidth="1"/>
    <x:col min="9" max="10" width="14" style="1" hidden="0" customWidth="1"/>
    <x:col min="11" max="11" width="15" hidden="0" customWidth="1"/>
    <x:col min="12" max="12" width="12" hidden="0" customWidth="1"/>
  </x:cols>
  <x:sheetData>
    <x:row r="1" ht="30" hidden="0" customHeight="1">
      <x:c r="A1" s="2" t="str">
        <x:v>Robustness Check: Corrected Sample and False Positives</x:v>
      </x:c>
      <x:c r="B1" s="2" t="str">
        <x:v>Robustness Check: Corrected Sample and False Positives</x:v>
      </x:c>
      <x:c r="C1" s="2" t="str">
        <x:v>Robustness Check: Corrected Sample and False Positives</x:v>
      </x:c>
      <x:c r="D1" s="2" t="str">
        <x:v>Robustness Check: Corrected Sample and False Positives</x:v>
      </x:c>
      <x:c r="E1" s="2" t="str">
        <x:v>Robustness Check: Corrected Sample and False Positives</x:v>
      </x:c>
      <x:c r="F1" s="2" t="str">
        <x:v>Robustness Check: Corrected Sample and False Positives</x:v>
      </x:c>
      <x:c r="G1" s="2" t="str">
        <x:v>Robustness Check: Corrected Sample and False Positives</x:v>
      </x:c>
      <x:c r="H1" s="2" t="str">
        <x:v>Robustness Check: Corrected Sample and False Positives</x:v>
      </x:c>
      <x:c r="I1" s="2" t="str">
        <x:v>Robustness Check: Corrected Sample and False Positives</x:v>
      </x:c>
      <x:c r="J1" s="2" t="str">
        <x:v>Robustness Check: Corrected Sample and False Positives</x:v>
      </x:c>
      <x:c r="K1" t="str">
        <x:v>Robustness Check: Corrected Sample and False Positives</x:v>
      </x:c>
      <x:c r="L1" t="str">
        <x:v>Robustness Check: Corrected Sample and False Positives</x:v>
      </x:c>
    </x:row>
    <x:row r="2" ht="31.5" hidden="0" customHeight="1">
      <x:c r="A2" s="3" t="str">
        <x:v>Ranks are live formulas over the corrected 149-bank sample. The component percentiles and composite scores were recomputed only after enforcing the $10bn-$250bn asset filter in code.</x:v>
      </x:c>
      <x:c r="B2" s="3" t="str">
        <x:v>Ranks are live formulas over the corrected 149-bank sample. The component percentiles and composite scores were recomputed only after enforcing the $10bn-$250bn asset filter in code.</x:v>
      </x:c>
      <x:c r="C2" s="3" t="str">
        <x:v>Ranks are live formulas over the corrected 149-bank sample. The component percentiles and composite scores were recomputed only after enforcing the $10bn-$250bn asset filter in code.</x:v>
      </x:c>
      <x:c r="D2" s="3" t="str">
        <x:v>Ranks are live formulas over the corrected 149-bank sample. The component percentiles and composite scores were recomputed only after enforcing the $10bn-$250bn asset filter in code.</x:v>
      </x:c>
      <x:c r="E2" s="3" t="str">
        <x:v>Ranks are live formulas over the corrected 149-bank sample. The component percentiles and composite scores were recomputed only after enforcing the $10bn-$250bn asset filter in code.</x:v>
      </x:c>
      <x:c r="F2" s="3" t="str">
        <x:v>Ranks are live formulas over the corrected 149-bank sample. The component percentiles and composite scores were recomputed only after enforcing the $10bn-$250bn asset filter in code.</x:v>
      </x:c>
      <x:c r="G2" s="3" t="str">
        <x:v>Ranks are live formulas over the corrected 149-bank sample. The component percentiles and composite scores were recomputed only after enforcing the $10bn-$250bn asset filter in code.</x:v>
      </x:c>
      <x:c r="H2" s="3" t="str">
        <x:v>Ranks are live formulas over the corrected 149-bank sample. The component percentiles and composite scores were recomputed only after enforcing the $10bn-$250bn asset filter in code.</x:v>
      </x:c>
      <x:c r="I2" s="3" t="str">
        <x:v>Ranks are live formulas over the corrected 149-bank sample. The component percentiles and composite scores were recomputed only after enforcing the $10bn-$250bn asset filter in code.</x:v>
      </x:c>
      <x:c r="J2" s="3" t="str">
        <x:v>Ranks are live formulas over the corrected 149-bank sample. The component percentiles and composite scores were recomputed only after enforcing the $10bn-$250bn asset filter in code.</x:v>
      </x:c>
      <x:c r="K2" t="str">
        <x:v>Ranks are live formulas over the corrected 149-bank sample. The component percentiles and composite scores were recomputed only after enforcing the $10bn-$250bn asset filter in code.</x:v>
      </x:c>
      <x:c r="L2" t="str">
        <x:v>Ranks are live formulas over the corrected 149-bank sample. The component percentiles and composite scores were recomputed only after enforcing the $10bn-$250bn asset filter in code.</x:v>
      </x:c>
    </x:row>
    <x:row r="4" ht="15" hidden="0">
      <x:c r="A4" s="19" t="str">
        <x:v>Asset cap used in code ($bn)</x:v>
      </x:c>
      <x:c r="B4" s="20" t="n">
        <x:v>250</x:v>
      </x:c>
      <x:c r="C4" s="21" t="str">
        <x:v>Fixed sample definition. Changing this cell does not recompute component percentiles.</x:v>
      </x:c>
    </x:row>
    <x:row r="5" ht="15" hidden="0">
      <x:c r="A5" s="19" t="str">
        <x:v>Banks above the cap</x:v>
      </x:c>
      <x:c r="B5" s="22" t="n">
        <x:f aca="0">COUNTIF('Peer Metrics'!$C$5:$C$153,"&gt;"&amp;$B$4)</x:f>
        <x:v>0</x:v>
      </x:c>
      <x:c r="C5" t="str">
        <x:v>Must equal zero.</x:v>
      </x:c>
    </x:row>
    <x:row r="6" ht="15" hidden="0">
      <x:c r="A6" s="19" t="str">
        <x:v>Banks in corrected sample</x:v>
      </x:c>
      <x:c r="B6" s="22" t="n">
        <x:f aca="0">COUNTA('Peer Metrics'!$A$5:$A$153)</x:f>
        <x:v>149</x:v>
      </x:c>
      <x:c r="C6" t="str">
        <x:v>Expected: 149.</x:v>
      </x:c>
    </x:row>
    <x:row r="8" ht="30" hidden="0" customHeight="1">
      <x:c r="A8" s="19" t="str">
        <x:v>Failed bank</x:v>
      </x:c>
      <x:c r="B8" s="23" t="str">
        <x:v>SILICON VALLEY BANK</x:v>
      </x:c>
      <x:c r="C8" s="23" t="str">
        <x:v>SIGNATURE BANK</x:v>
      </x:c>
      <x:c r="D8" s="23" t="str">
        <x:v>FIRST REPUBLIC BANK</x:v>
      </x:c>
    </x:row>
    <x:row r="10" ht="34" hidden="0" customHeight="1">
      <x:c r="A10" s="72" t="str">
        <x:v>Signal (direction)</x:v>
      </x:c>
      <x:c r="B10" s="73" t="str">
        <x:v>SVB rank</x:v>
      </x:c>
      <x:c r="C10" s="73" t="str">
        <x:v>Signature rank</x:v>
      </x:c>
      <x:c r="D10" s="73" t="str">
        <x:v>First Republic rank</x:v>
      </x:c>
      <x:c r="E10" s="73" t="str">
        <x:v>Banks with data</x:v>
      </x:c>
      <x:c r="F10" s="73" t="str">
        <x:v>Top-decile cutoff</x:v>
      </x:c>
      <x:c r="G10" s="73" t="str">
        <x:v>Failures captured</x:v>
      </x:c>
      <x:c r="H10" s="73" t="str">
        <x:v>Capture rate</x:v>
      </x:c>
      <x:c r="I10" s="73" t="str">
        <x:v>False positives</x:v>
      </x:c>
      <x:c r="J10" s="73" t="str">
        <x:v>Precision</x:v>
      </x:c>
      <x:c r="K10" s="53" t="str">
        <x:v>False-positive share</x:v>
      </x:c>
      <x:c r="L10" s="54" t="str">
        <x:v>Peer Metrics column</x:v>
      </x:c>
    </x:row>
    <x:row r="11" ht="27.75" hidden="0" customHeight="1">
      <x:c r="A11" s="81" t="str">
        <x:v>Trigger-augmented integrated score (higher = riskier)</x:v>
      </x:c>
      <x:c r="B11" s="81" t="n">
        <x:f aca="0">IF(ISNUMBER(INDEX('Peer Metrics'!$P$5:$P$153,MATCH(B$8,'Peer Metrics'!$A$5:$A$153,0))),1+COUNTIF('Peer Metrics'!$P$5:$P$153,"&gt;"&amp;INDEX('Peer Metrics'!$P$5:$P$153,MATCH(B$8,'Peer Metrics'!$A$5:$A$153,0))),"n.a.")</x:f>
        <x:v>5</x:v>
      </x:c>
      <x:c r="C11" s="81" t="n">
        <x:f aca="0">IF(ISNUMBER(INDEX('Peer Metrics'!$P$5:$P$153,MATCH(C$8,'Peer Metrics'!$A$5:$A$153,0))),1+COUNTIF('Peer Metrics'!$P$5:$P$153,"&gt;"&amp;INDEX('Peer Metrics'!$P$5:$P$153,MATCH(C$8,'Peer Metrics'!$A$5:$A$153,0))),"n.a.")</x:f>
        <x:v>15</x:v>
      </x:c>
      <x:c r="D11" s="81" t="n">
        <x:f aca="0">IF(ISNUMBER(INDEX('Peer Metrics'!$P$5:$P$153,MATCH(D$8,'Peer Metrics'!$A$5:$A$153,0))),1+COUNTIF('Peer Metrics'!$P$5:$P$153,"&gt;"&amp;INDEX('Peer Metrics'!$P$5:$P$153,MATCH(D$8,'Peer Metrics'!$A$5:$A$153,0))),"n.a.")</x:f>
        <x:v>10</x:v>
      </x:c>
      <x:c r="E11" s="81" t="n">
        <x:f aca="0">COUNT('Peer Metrics'!$P$5:$P$153)</x:f>
        <x:v>144</x:v>
      </x:c>
      <x:c r="F11" s="81" t="n">
        <x:f aca="0">ROUNDUP(E11*10%,0)</x:f>
        <x:v>15</x:v>
      </x:c>
      <x:c r="G11" s="81" t="n">
        <x:f aca="0">IF(B11&lt;=F11,1,0)+IF(C11&lt;=F11,1,0)+IF(D11&lt;=F11,1,0)</x:f>
        <x:v>3</x:v>
      </x:c>
      <x:c r="H11" s="82" t="n">
        <x:f aca="0">G11/3</x:f>
        <x:v>1</x:v>
      </x:c>
      <x:c r="I11" s="101" t="n">
        <x:f aca="0">F11-G11</x:f>
        <x:v>12</x:v>
      </x:c>
      <x:c r="J11" s="82" t="n">
        <x:f>IF(F11&gt;0,G11/F11,"n.a.")</x:f>
        <x:v>0.2</x:v>
      </x:c>
      <x:c r="K11" s="103" t="n">
        <x:f>IF(F11&gt;0,I11/F11,"n.a.")</x:f>
        <x:v>0.8</x:v>
      </x:c>
      <x:c r="L11" s="59" t="str">
        <x:v>P</x:v>
      </x:c>
    </x:row>
    <x:row r="12" ht="27.75" hidden="0" customHeight="1">
      <x:c r="A12" s="81" t="str">
        <x:v>Baseline weighted score (higher = riskier)</x:v>
      </x:c>
      <x:c r="B12" s="81" t="n">
        <x:f aca="0">IF(ISNUMBER(INDEX('Peer Metrics'!$N$5:$N$153,MATCH(B$8,'Peer Metrics'!$A$5:$A$153,0))),1+COUNTIF('Peer Metrics'!$N$5:$N$153,"&gt;"&amp;INDEX('Peer Metrics'!$N$5:$N$153,MATCH(B$8,'Peer Metrics'!$A$5:$A$153,0))),"n.a.")</x:f>
        <x:v>4</x:v>
      </x:c>
      <x:c r="C12" s="81" t="n">
        <x:f aca="0">IF(ISNUMBER(INDEX('Peer Metrics'!$N$5:$N$153,MATCH(C$8,'Peer Metrics'!$A$5:$A$153,0))),1+COUNTIF('Peer Metrics'!$N$5:$N$153,"&gt;"&amp;INDEX('Peer Metrics'!$N$5:$N$153,MATCH(C$8,'Peer Metrics'!$A$5:$A$153,0))),"n.a.")</x:f>
        <x:v>27</x:v>
      </x:c>
      <x:c r="D12" s="81" t="n">
        <x:f aca="0">IF(ISNUMBER(INDEX('Peer Metrics'!$N$5:$N$153,MATCH(D$8,'Peer Metrics'!$A$5:$A$153,0))),1+COUNTIF('Peer Metrics'!$N$5:$N$153,"&gt;"&amp;INDEX('Peer Metrics'!$N$5:$N$153,MATCH(D$8,'Peer Metrics'!$A$5:$A$153,0))),"n.a.")</x:f>
        <x:v>28</x:v>
      </x:c>
      <x:c r="E12" s="81" t="n">
        <x:f aca="0">COUNT('Peer Metrics'!$N$5:$N$153)</x:f>
        <x:v>144</x:v>
      </x:c>
      <x:c r="F12" s="81" t="n">
        <x:f aca="0">ROUNDUP(E12*10%,0)</x:f>
        <x:v>15</x:v>
      </x:c>
      <x:c r="G12" s="81" t="n">
        <x:f aca="0">IF(B12&lt;=F12,1,0)+IF(C12&lt;=F12,1,0)+IF(D12&lt;=F12,1,0)</x:f>
        <x:v>1</x:v>
      </x:c>
      <x:c r="H12" s="82" t="n">
        <x:f aca="0">G12/3</x:f>
        <x:v>0.3333333333333333</x:v>
      </x:c>
      <x:c r="I12" s="101" t="n">
        <x:f aca="0">F12-G12</x:f>
        <x:v>14</x:v>
      </x:c>
      <x:c r="J12" s="82" t="n">
        <x:f>IF(F12&gt;0,G12/F12,"n.a.")</x:f>
        <x:v>0.06666666666666667</x:v>
      </x:c>
      <x:c r="K12" s="103" t="n">
        <x:f>IF(F12&gt;0,I12/F12,"n.a.")</x:f>
        <x:v>0.9333333333333333</x:v>
      </x:c>
      <x:c r="L12" s="59" t="str">
        <x:v>N</x:v>
      </x:c>
    </x:row>
    <x:row r="13" ht="27.75" hidden="0" customHeight="1">
      <x:c r="A13" s="81" t="str">
        <x:v>Uninsured deposits / deposits (higher = riskier)</x:v>
      </x:c>
      <x:c r="B13" s="81" t="n">
        <x:f aca="0">IF(ISNUMBER(INDEX('Peer Metrics'!$H$5:$H$153,MATCH(B$8,'Peer Metrics'!$A$5:$A$153,0))),1+COUNTIF('Peer Metrics'!$H$5:$H$153,"&gt;"&amp;INDEX('Peer Metrics'!$H$5:$H$153,MATCH(B$8,'Peer Metrics'!$A$5:$A$153,0))),"n.a.")</x:f>
        <x:v>3</x:v>
      </x:c>
      <x:c r="C13" s="81" t="n">
        <x:f aca="0">IF(ISNUMBER(INDEX('Peer Metrics'!$H$5:$H$153,MATCH(C$8,'Peer Metrics'!$A$5:$A$153,0))),1+COUNTIF('Peer Metrics'!$H$5:$H$153,"&gt;"&amp;INDEX('Peer Metrics'!$H$5:$H$153,MATCH(C$8,'Peer Metrics'!$A$5:$A$153,0))),"n.a.")</x:f>
        <x:v>2</x:v>
      </x:c>
      <x:c r="D13" s="81" t="n">
        <x:f aca="0">IF(ISNUMBER(INDEX('Peer Metrics'!$H$5:$H$153,MATCH(D$8,'Peer Metrics'!$A$5:$A$153,0))),1+COUNTIF('Peer Metrics'!$H$5:$H$153,"&gt;"&amp;INDEX('Peer Metrics'!$H$5:$H$153,MATCH(D$8,'Peer Metrics'!$A$5:$A$153,0))),"n.a.")</x:f>
        <x:v>8</x:v>
      </x:c>
      <x:c r="E13" s="81" t="n">
        <x:f aca="0">COUNT('Peer Metrics'!$H$5:$H$153)</x:f>
        <x:v>149</x:v>
      </x:c>
      <x:c r="F13" s="81" t="n">
        <x:f aca="0">ROUNDUP(E13*10%,0)</x:f>
        <x:v>15</x:v>
      </x:c>
      <x:c r="G13" s="81" t="n">
        <x:f aca="0">IF(B13&lt;=F13,1,0)+IF(C13&lt;=F13,1,0)+IF(D13&lt;=F13,1,0)</x:f>
        <x:v>3</x:v>
      </x:c>
      <x:c r="H13" s="82" t="n">
        <x:f aca="0">G13/3</x:f>
        <x:v>1</x:v>
      </x:c>
      <x:c r="I13" s="101" t="n">
        <x:f aca="0">F13-G13</x:f>
        <x:v>12</x:v>
      </x:c>
      <x:c r="J13" s="82" t="n">
        <x:f>IF(F13&gt;0,G13/F13,"n.a.")</x:f>
        <x:v>0.2</x:v>
      </x:c>
      <x:c r="K13" s="103" t="n">
        <x:f>IF(F13&gt;0,I13/F13,"n.a.")</x:f>
        <x:v>0.8</x:v>
      </x:c>
      <x:c r="L13" s="59" t="str">
        <x:v>H</x:v>
      </x:c>
    </x:row>
    <x:row r="14" ht="27.75" hidden="0" customHeight="1">
      <x:c r="A14" s="81" t="str">
        <x:v>Securities MTM gap / equity (higher = riskier)</x:v>
      </x:c>
      <x:c r="B14" s="81" t="n">
        <x:f aca="0">IF(ISNUMBER(INDEX('Peer Metrics'!$G$5:$G$153,MATCH(B$8,'Peer Metrics'!$A$5:$A$153,0))),1+COUNTIF('Peer Metrics'!$G$5:$G$153,"&gt;"&amp;INDEX('Peer Metrics'!$G$5:$G$153,MATCH(B$8,'Peer Metrics'!$A$5:$A$153,0))),"n.a.")</x:f>
        <x:v>4</x:v>
      </x:c>
      <x:c r="C14" s="81" t="n">
        <x:f aca="0">IF(ISNUMBER(INDEX('Peer Metrics'!$G$5:$G$153,MATCH(C$8,'Peer Metrics'!$A$5:$A$153,0))),1+COUNTIF('Peer Metrics'!$G$5:$G$153,"&gt;"&amp;INDEX('Peer Metrics'!$G$5:$G$153,MATCH(C$8,'Peer Metrics'!$A$5:$A$153,0))),"n.a.")</x:f>
        <x:v>40</x:v>
      </x:c>
      <x:c r="D14" s="81" t="n">
        <x:f aca="0">IF(ISNUMBER(INDEX('Peer Metrics'!$G$5:$G$153,MATCH(D$8,'Peer Metrics'!$A$5:$A$153,0))),1+COUNTIF('Peer Metrics'!$G$5:$G$153,"&gt;"&amp;INDEX('Peer Metrics'!$G$5:$G$153,MATCH(D$8,'Peer Metrics'!$A$5:$A$153,0))),"n.a.")</x:f>
        <x:v>10</x:v>
      </x:c>
      <x:c r="E14" s="81" t="n">
        <x:f aca="0">COUNT('Peer Metrics'!$G$5:$G$153)</x:f>
        <x:v>145</x:v>
      </x:c>
      <x:c r="F14" s="81" t="n">
        <x:f aca="0">ROUNDUP(E14*10%,0)</x:f>
        <x:v>15</x:v>
      </x:c>
      <x:c r="G14" s="81" t="n">
        <x:f aca="0">IF(B14&lt;=F14,1,0)+IF(C14&lt;=F14,1,0)+IF(D14&lt;=F14,1,0)</x:f>
        <x:v>2</x:v>
      </x:c>
      <x:c r="H14" s="82" t="n">
        <x:f aca="0">G14/3</x:f>
        <x:v>0.6666666666666666</x:v>
      </x:c>
      <x:c r="I14" s="101" t="n">
        <x:f aca="0">F14-G14</x:f>
        <x:v>13</x:v>
      </x:c>
      <x:c r="J14" s="82" t="n">
        <x:f>IF(F14&gt;0,G14/F14,"n.a.")</x:f>
        <x:v>0.13333333333333333</x:v>
      </x:c>
      <x:c r="K14" s="103" t="n">
        <x:f>IF(F14&gt;0,I14/F14,"n.a.")</x:f>
        <x:v>0.8666666666666667</x:v>
      </x:c>
      <x:c r="L14" s="59" t="str">
        <x:v>G</x:v>
      </x:c>
    </x:row>
    <x:row r="15" ht="27.75" hidden="0" customHeight="1">
      <x:c r="A15" s="81" t="str">
        <x:v>Securities / assets (higher = riskier)</x:v>
      </x:c>
      <x:c r="B15" s="81" t="n">
        <x:f aca="0">IF(ISNUMBER(INDEX('Peer Metrics'!$F$5:$F$153,MATCH(B$8,'Peer Metrics'!$A$5:$A$153,0))),1+COUNTIF('Peer Metrics'!$F$5:$F$153,"&gt;"&amp;INDEX('Peer Metrics'!$F$5:$F$153,MATCH(B$8,'Peer Metrics'!$A$5:$A$153,0))),"n.a.")</x:f>
        <x:v>6</x:v>
      </x:c>
      <x:c r="C15" s="81" t="n">
        <x:f aca="0">IF(ISNUMBER(INDEX('Peer Metrics'!$F$5:$F$153,MATCH(C$8,'Peer Metrics'!$A$5:$A$153,0))),1+COUNTIF('Peer Metrics'!$F$5:$F$153,"&gt;"&amp;INDEX('Peer Metrics'!$F$5:$F$153,MATCH(C$8,'Peer Metrics'!$A$5:$A$153,0))),"n.a.")</x:f>
        <x:v>52</x:v>
      </x:c>
      <x:c r="D15" s="81" t="n">
        <x:f aca="0">IF(ISNUMBER(INDEX('Peer Metrics'!$F$5:$F$153,MATCH(D$8,'Peer Metrics'!$A$5:$A$153,0))),1+COUNTIF('Peer Metrics'!$F$5:$F$153,"&gt;"&amp;INDEX('Peer Metrics'!$F$5:$F$153,MATCH(D$8,'Peer Metrics'!$A$5:$A$153,0))),"n.a.")</x:f>
        <x:v>102</x:v>
      </x:c>
      <x:c r="E15" s="81" t="n">
        <x:f aca="0">COUNT('Peer Metrics'!$F$5:$F$153)</x:f>
        <x:v>149</x:v>
      </x:c>
      <x:c r="F15" s="81" t="n">
        <x:f aca="0">ROUNDUP(E15*10%,0)</x:f>
        <x:v>15</x:v>
      </x:c>
      <x:c r="G15" s="81" t="n">
        <x:f aca="0">IF(B15&lt;=F15,1,0)+IF(C15&lt;=F15,1,0)+IF(D15&lt;=F15,1,0)</x:f>
        <x:v>1</x:v>
      </x:c>
      <x:c r="H15" s="82" t="n">
        <x:f aca="0">G15/3</x:f>
        <x:v>0.3333333333333333</x:v>
      </x:c>
      <x:c r="I15" s="101" t="n">
        <x:f aca="0">F15-G15</x:f>
        <x:v>14</x:v>
      </x:c>
      <x:c r="J15" s="82" t="n">
        <x:f>IF(F15&gt;0,G15/F15,"n.a.")</x:f>
        <x:v>0.06666666666666667</x:v>
      </x:c>
      <x:c r="K15" s="103" t="n">
        <x:f>IF(F15&gt;0,I15/F15,"n.a.")</x:f>
        <x:v>0.9333333333333333</x:v>
      </x:c>
      <x:c r="L15" s="59" t="str">
        <x:v>F</x:v>
      </x:c>
    </x:row>
    <x:row r="16" ht="27.75" hidden="0" customHeight="1">
      <x:c r="A16" s="81" t="str">
        <x:v>Noncurrent loans / loans (higher = riskier)</x:v>
      </x:c>
      <x:c r="B16" s="81" t="n">
        <x:f aca="0">IF(ISNUMBER(INDEX('Peer Metrics'!$I$5:$I$153,MATCH(B$8,'Peer Metrics'!$A$5:$A$153,0))),1+COUNTIF('Peer Metrics'!$I$5:$I$153,"&gt;"&amp;INDEX('Peer Metrics'!$I$5:$I$153,MATCH(B$8,'Peer Metrics'!$A$5:$A$153,0))),"n.a.")</x:f>
        <x:v>117</x:v>
      </x:c>
      <x:c r="C16" s="81" t="n">
        <x:f aca="0">IF(ISNUMBER(INDEX('Peer Metrics'!$I$5:$I$153,MATCH(C$8,'Peer Metrics'!$A$5:$A$153,0))),1+COUNTIF('Peer Metrics'!$I$5:$I$153,"&gt;"&amp;INDEX('Peer Metrics'!$I$5:$I$153,MATCH(C$8,'Peer Metrics'!$A$5:$A$153,0))),"n.a.")</x:f>
        <x:v>87</x:v>
      </x:c>
      <x:c r="D16" s="81" t="n">
        <x:f aca="0">IF(ISNUMBER(INDEX('Peer Metrics'!$I$5:$I$153,MATCH(D$8,'Peer Metrics'!$A$5:$A$153,0))),1+COUNTIF('Peer Metrics'!$I$5:$I$153,"&gt;"&amp;INDEX('Peer Metrics'!$I$5:$I$153,MATCH(D$8,'Peer Metrics'!$A$5:$A$153,0))),"n.a.")</x:f>
        <x:v>135</x:v>
      </x:c>
      <x:c r="E16" s="81" t="n">
        <x:f aca="0">COUNT('Peer Metrics'!$I$5:$I$153)</x:f>
        <x:v>148</x:v>
      </x:c>
      <x:c r="F16" s="81" t="n">
        <x:f aca="0">ROUNDUP(E16*10%,0)</x:f>
        <x:v>15</x:v>
      </x:c>
      <x:c r="G16" s="81" t="n">
        <x:f aca="0">IF(B16&lt;=F16,1,0)+IF(C16&lt;=F16,1,0)+IF(D16&lt;=F16,1,0)</x:f>
        <x:v>0</x:v>
      </x:c>
      <x:c r="H16" s="82" t="n">
        <x:f aca="0">G16/3</x:f>
        <x:v>0</x:v>
      </x:c>
      <x:c r="I16" s="101" t="n">
        <x:f aca="0">F16-G16</x:f>
        <x:v>15</x:v>
      </x:c>
      <x:c r="J16" s="82" t="n">
        <x:f>IF(F16&gt;0,G16/F16,"n.a.")</x:f>
        <x:v>0</x:v>
      </x:c>
      <x:c r="K16" s="103" t="n">
        <x:f>IF(F16&gt;0,I16/F16,"n.a.")</x:f>
        <x:v>1</x:v>
      </x:c>
      <x:c r="L16" s="59" t="str">
        <x:v>I</x:v>
      </x:c>
    </x:row>
    <x:row r="17" ht="27.75" hidden="0" customHeight="1">
      <x:c r="A17" s="81" t="str">
        <x:v>Capital / assets (lower = riskier)</x:v>
      </x:c>
      <x:c r="B17" s="81" t="n">
        <x:f aca="0">IF(ISNUMBER(INDEX('Peer Metrics'!$D$5:$D$153,MATCH(B$8,'Peer Metrics'!$A$5:$A$153,0))),1+COUNTIF('Peer Metrics'!$D$5:$D$153,"&lt;"&amp;INDEX('Peer Metrics'!$D$5:$D$153,MATCH(B$8,'Peer Metrics'!$A$5:$A$153,0))),"n.a.")</x:f>
        <x:v>28</x:v>
      </x:c>
      <x:c r="C17" s="81" t="n">
        <x:f aca="0">IF(ISNUMBER(INDEX('Peer Metrics'!$D$5:$D$153,MATCH(C$8,'Peer Metrics'!$A$5:$A$153,0))),1+COUNTIF('Peer Metrics'!$D$5:$D$153,"&lt;"&amp;INDEX('Peer Metrics'!$D$5:$D$153,MATCH(C$8,'Peer Metrics'!$A$5:$A$153,0))),"n.a.")</x:f>
        <x:v>26</x:v>
      </x:c>
      <x:c r="D17" s="81" t="n">
        <x:f aca="0">IF(ISNUMBER(INDEX('Peer Metrics'!$D$5:$D$153,MATCH(D$8,'Peer Metrics'!$A$5:$A$153,0))),1+COUNTIF('Peer Metrics'!$D$5:$D$153,"&lt;"&amp;INDEX('Peer Metrics'!$D$5:$D$153,MATCH(D$8,'Peer Metrics'!$A$5:$A$153,0))),"n.a.")</x:f>
        <x:v>41</x:v>
      </x:c>
      <x:c r="E17" s="81" t="n">
        <x:f aca="0">COUNT('Peer Metrics'!$D$5:$D$153)</x:f>
        <x:v>145</x:v>
      </x:c>
      <x:c r="F17" s="81" t="n">
        <x:f aca="0">ROUNDUP(E17*10%,0)</x:f>
        <x:v>15</x:v>
      </x:c>
      <x:c r="G17" s="81" t="n">
        <x:f aca="0">IF(B17&lt;=F17,1,0)+IF(C17&lt;=F17,1,0)+IF(D17&lt;=F17,1,0)</x:f>
        <x:v>0</x:v>
      </x:c>
      <x:c r="H17" s="82" t="n">
        <x:f aca="0">G17/3</x:f>
        <x:v>0</x:v>
      </x:c>
      <x:c r="I17" s="101" t="n">
        <x:f aca="0">F17-G17</x:f>
        <x:v>15</x:v>
      </x:c>
      <x:c r="J17" s="82" t="n">
        <x:f>IF(F17&gt;0,G17/F17,"n.a.")</x:f>
        <x:v>0</x:v>
      </x:c>
      <x:c r="K17" s="103" t="n">
        <x:f>IF(F17&gt;0,I17/F17,"n.a.")</x:f>
        <x:v>1</x:v>
      </x:c>
      <x:c r="L17" s="59" t="str">
        <x:v>D</x:v>
      </x:c>
    </x:row>
    <x:row r="18" ht="27.75" hidden="0" customHeight="1">
      <x:c r="A18" s="83" t="str">
        <x:v>Cash / assets (lower = riskier)</x:v>
      </x:c>
      <x:c r="B18" s="83" t="n">
        <x:f aca="0">IF(ISNUMBER(INDEX('Peer Metrics'!$E$5:$E$153,MATCH(B$8,'Peer Metrics'!$A$5:$A$153,0))),1+COUNTIF('Peer Metrics'!$E$5:$E$153,"&lt;"&amp;INDEX('Peer Metrics'!$E$5:$E$153,MATCH(B$8,'Peer Metrics'!$A$5:$A$153,0))),"n.a.")</x:f>
        <x:v>107</x:v>
      </x:c>
      <x:c r="C18" s="83" t="n">
        <x:f aca="0">IF(ISNUMBER(INDEX('Peer Metrics'!$E$5:$E$153,MATCH(C$8,'Peer Metrics'!$A$5:$A$153,0))),1+COUNTIF('Peer Metrics'!$E$5:$E$153,"&lt;"&amp;INDEX('Peer Metrics'!$E$5:$E$153,MATCH(C$8,'Peer Metrics'!$A$5:$A$153,0))),"n.a.")</x:f>
        <x:v>102</x:v>
      </x:c>
      <x:c r="D18" s="83" t="n">
        <x:f aca="0">IF(ISNUMBER(INDEX('Peer Metrics'!$E$5:$E$153,MATCH(D$8,'Peer Metrics'!$A$5:$A$153,0))),1+COUNTIF('Peer Metrics'!$E$5:$E$153,"&lt;"&amp;INDEX('Peer Metrics'!$E$5:$E$153,MATCH(D$8,'Peer Metrics'!$A$5:$A$153,0))),"n.a.")</x:f>
        <x:v>37</x:v>
      </x:c>
      <x:c r="E18" s="83" t="n">
        <x:f aca="0">COUNT('Peer Metrics'!$E$5:$E$153)</x:f>
        <x:v>149</x:v>
      </x:c>
      <x:c r="F18" s="83" t="n">
        <x:f aca="0">ROUNDUP(E18*10%,0)</x:f>
        <x:v>15</x:v>
      </x:c>
      <x:c r="G18" s="83" t="n">
        <x:f aca="0">IF(B18&lt;=F18,1,0)+IF(C18&lt;=F18,1,0)+IF(D18&lt;=F18,1,0)</x:f>
        <x:v>0</x:v>
      </x:c>
      <x:c r="H18" s="84" t="n">
        <x:f aca="0">G18/3</x:f>
        <x:v>0</x:v>
      </x:c>
      <x:c r="I18" s="102" t="n">
        <x:f aca="0">F18-G18</x:f>
        <x:v>15</x:v>
      </x:c>
      <x:c r="J18" s="84" t="n">
        <x:f>IF(F18&gt;0,G18/F18,"n.a.")</x:f>
        <x:v>0</x:v>
      </x:c>
      <x:c r="K18" s="104" t="n">
        <x:f>IF(F18&gt;0,I18/F18,"n.a.")</x:f>
        <x:v>1</x:v>
      </x:c>
      <x:c r="L18" s="61" t="str">
        <x:v>E</x:v>
      </x:c>
    </x:row>
    <x:row r="20" ht="15" hidden="0">
      <x:c r="A20" s="97" t="str">
        <x:v>Stressed survivors in spring 2023 (secondary diagnostic, anonymized for filing)</x:v>
      </x:c>
      <x:c r="B20" s="98" t="str">
        <x:v>Stressed survivors in spring 2023 (secondary diagnostic, anonymized for filing)</x:v>
      </x:c>
      <x:c r="C20" s="98" t="str">
        <x:v>Stressed survivors in spring 2023 (secondary diagnostic, anonymized for filing)</x:v>
      </x:c>
      <x:c r="D20" s="98" t="str">
        <x:v>Stressed survivors in spring 2023 (secondary diagnostic, anonymized for filing)</x:v>
      </x:c>
      <x:c r="E20" s="98" t="str">
        <x:v>Stressed survivors in spring 2023 (secondary diagnostic, anonymized for filing)</x:v>
      </x:c>
      <x:c r="F20" s="98" t="str">
        <x:v>Stressed survivors in spring 2023 (secondary diagnostic, anonymized for filing)</x:v>
      </x:c>
      <x:c r="G20" s="98" t="str">
        <x:v>Stressed survivors in spring 2023 (secondary diagnostic, anonymized for filing)</x:v>
      </x:c>
      <x:c r="H20" s="98" t="str">
        <x:v>Stressed survivors in spring 2023 (secondary diagnostic, anonymized for filing)</x:v>
      </x:c>
      <x:c r="I20" s="98" t="str">
        <x:v>Stressed survivors in spring 2023 (secondary diagnostic, anonymized for filing)</x:v>
      </x:c>
      <x:c r="J20" s="98" t="str">
        <x:v>Stressed survivors in spring 2023 (secondary diagnostic, anonymized for filing)</x:v>
      </x:c>
      <x:c r="K20" s="99" t="str">
        <x:v>Stressed survivors in spring 2023 (secondary diagnostic, anonymized for filing)</x:v>
      </x:c>
      <x:c r="L20" s="100" t="str">
        <x:v>Stressed survivors in spring 2023 (secondary diagnostic, anonymized for filing)</x:v>
      </x:c>
    </x:row>
    <x:row r="21" ht="34" hidden="0" customHeight="1">
      <x:c r="A21" s="72" t="str">
        <x:v>Peer label</x:v>
      </x:c>
      <x:c r="B21" s="73" t="str">
        <x:v>Trigger score rank</x:v>
      </x:c>
      <x:c r="C21" s="73" t="str">
        <x:v>Uninsured-deposit rank</x:v>
      </x:c>
      <x:c r="D21" s="73" t="str">
        <x:v>Top-decile trigger</x:v>
      </x:c>
      <x:c r="E21" s="73" t="str">
        <x:v>Banks with trigger data</x:v>
      </x:c>
      <x:c r="F21" s="76" t="str">
        <x:v>Above trigger-score median</x:v>
      </x:c>
      <x:c r="G21" s="105"/>
      <x:c r="H21" s="105"/>
      <x:c r="I21" s="105"/>
      <x:c r="J21" s="105"/>
      <x:c r="K21" s="106"/>
      <x:c r="L21" s="106"/>
    </x:row>
    <x:row r="22" ht="15" hidden="0">
      <x:c r="A22" s="89" t="str">
        <x:v>Stressed Peer B</x:v>
      </x:c>
      <x:c r="B22" s="89" t="n">
        <x:f aca="0">IF(ISNUMBER(INDEX('Peer Metrics'!$P$5:$P$153,MATCH($A22,'Peer Metrics'!$A$5:$A$153,0))),1+COUNTIF('Peer Metrics'!$P$5:$P$153,"&gt;"&amp;INDEX('Peer Metrics'!$P$5:$P$153,MATCH($A22,'Peer Metrics'!$A$5:$A$153,0))),"n.a.")</x:f>
        <x:v>21</x:v>
      </x:c>
      <x:c r="C22" s="89" t="n">
        <x:f aca="0">IF(ISNUMBER(INDEX('Peer Metrics'!$H$5:$H$153,MATCH($A22,'Peer Metrics'!$A$5:$A$153,0))),1+COUNTIF('Peer Metrics'!$H$5:$H$153,"&gt;"&amp;INDEX('Peer Metrics'!$H$5:$H$153,MATCH($A22,'Peer Metrics'!$A$5:$A$153,0))),"n.a.")</x:f>
        <x:v>26</x:v>
      </x:c>
      <x:c r="D22" s="89" t="str">
        <x:f aca="0">IF(B22&lt;=$F$11,"Yes","No")</x:f>
        <x:v>No</x:v>
      </x:c>
      <x:c r="E22" s="90" t="n">
        <x:f>$E$11</x:f>
        <x:v>144</x:v>
      </x:c>
      <x:c r="F22" s="90" t="str">
        <x:f>IF(B22&lt;=ROUNDUP($E$11/2,0),"Yes","No")</x:f>
        <x:v>Yes</x:v>
      </x:c>
      <x:c r="G22" s="107"/>
      <x:c r="H22" s="107"/>
      <x:c r="I22" s="107"/>
      <x:c r="J22" s="107"/>
      <x:c r="K22" s="106"/>
      <x:c r="L22" s="106"/>
    </x:row>
    <x:row r="23" ht="15" hidden="0">
      <x:c r="A23" s="89" t="str">
        <x:v>Stressed Peer E</x:v>
      </x:c>
      <x:c r="B23" s="89" t="n">
        <x:f aca="0">IF(ISNUMBER(INDEX('Peer Metrics'!$P$5:$P$153,MATCH($A23,'Peer Metrics'!$A$5:$A$153,0))),1+COUNTIF('Peer Metrics'!$P$5:$P$153,"&gt;"&amp;INDEX('Peer Metrics'!$P$5:$P$153,MATCH($A23,'Peer Metrics'!$A$5:$A$153,0))),"n.a.")</x:f>
        <x:v>25</x:v>
      </x:c>
      <x:c r="C23" s="89" t="n">
        <x:f aca="0">IF(ISNUMBER(INDEX('Peer Metrics'!$H$5:$H$153,MATCH($A23,'Peer Metrics'!$A$5:$A$153,0))),1+COUNTIF('Peer Metrics'!$H$5:$H$153,"&gt;"&amp;INDEX('Peer Metrics'!$H$5:$H$153,MATCH($A23,'Peer Metrics'!$A$5:$A$153,0))),"n.a.")</x:f>
        <x:v>39</x:v>
      </x:c>
      <x:c r="D23" s="89" t="str">
        <x:f aca="0">IF(B23&lt;=$F$11,"Yes","No")</x:f>
        <x:v>No</x:v>
      </x:c>
      <x:c r="E23" s="90" t="n">
        <x:f>$E$11</x:f>
        <x:v>144</x:v>
      </x:c>
      <x:c r="F23" s="90" t="str">
        <x:f>IF(B23&lt;=ROUNDUP($E$11/2,0),"Yes","No")</x:f>
        <x:v>Yes</x:v>
      </x:c>
      <x:c r="G23" s="107"/>
      <x:c r="H23" s="107"/>
      <x:c r="I23" s="107"/>
      <x:c r="J23" s="107"/>
      <x:c r="K23" s="106"/>
      <x:c r="L23" s="106"/>
    </x:row>
    <x:row r="24" ht="15" hidden="0">
      <x:c r="A24" s="89" t="str">
        <x:v>Stressed Peer D</x:v>
      </x:c>
      <x:c r="B24" s="89" t="n">
        <x:f aca="0">IF(ISNUMBER(INDEX('Peer Metrics'!$P$5:$P$153,MATCH($A24,'Peer Metrics'!$A$5:$A$153,0))),1+COUNTIF('Peer Metrics'!$P$5:$P$153,"&gt;"&amp;INDEX('Peer Metrics'!$P$5:$P$153,MATCH($A24,'Peer Metrics'!$A$5:$A$153,0))),"n.a.")</x:f>
        <x:v>32</x:v>
      </x:c>
      <x:c r="C24" s="89" t="n">
        <x:f aca="0">IF(ISNUMBER(INDEX('Peer Metrics'!$H$5:$H$153,MATCH($A24,'Peer Metrics'!$A$5:$A$153,0))),1+COUNTIF('Peer Metrics'!$H$5:$H$153,"&gt;"&amp;INDEX('Peer Metrics'!$H$5:$H$153,MATCH($A24,'Peer Metrics'!$A$5:$A$153,0))),"n.a.")</x:f>
        <x:v>49</x:v>
      </x:c>
      <x:c r="D24" s="89" t="str">
        <x:f aca="0">IF(B24&lt;=$F$11,"Yes","No")</x:f>
        <x:v>No</x:v>
      </x:c>
      <x:c r="E24" s="90" t="n">
        <x:f>$E$11</x:f>
        <x:v>144</x:v>
      </x:c>
      <x:c r="F24" s="90" t="str">
        <x:f>IF(B24&lt;=ROUNDUP($E$11/2,0),"Yes","No")</x:f>
        <x:v>Yes</x:v>
      </x:c>
      <x:c r="G24" s="107"/>
      <x:c r="H24" s="107"/>
      <x:c r="I24" s="107"/>
      <x:c r="J24" s="107"/>
      <x:c r="K24" s="106"/>
      <x:c r="L24" s="106"/>
    </x:row>
    <x:row r="25" ht="15" hidden="0">
      <x:c r="A25" s="89" t="str">
        <x:v>Stressed Peer C</x:v>
      </x:c>
      <x:c r="B25" s="89" t="n">
        <x:f aca="0">IF(ISNUMBER(INDEX('Peer Metrics'!$P$5:$P$153,MATCH($A25,'Peer Metrics'!$A$5:$A$153,0))),1+COUNTIF('Peer Metrics'!$P$5:$P$153,"&gt;"&amp;INDEX('Peer Metrics'!$P$5:$P$153,MATCH($A25,'Peer Metrics'!$A$5:$A$153,0))),"n.a.")</x:f>
        <x:v>33</x:v>
      </x:c>
      <x:c r="C25" s="89" t="n">
        <x:f aca="0">IF(ISNUMBER(INDEX('Peer Metrics'!$H$5:$H$153,MATCH($A25,'Peer Metrics'!$A$5:$A$153,0))),1+COUNTIF('Peer Metrics'!$H$5:$H$153,"&gt;"&amp;INDEX('Peer Metrics'!$H$5:$H$153,MATCH($A25,'Peer Metrics'!$A$5:$A$153,0))),"n.a.")</x:f>
        <x:v>15</x:v>
      </x:c>
      <x:c r="D25" s="89" t="str">
        <x:f aca="0">IF(B25&lt;=$F$11,"Yes","No")</x:f>
        <x:v>No</x:v>
      </x:c>
      <x:c r="E25" s="90" t="n">
        <x:f>$E$11</x:f>
        <x:v>144</x:v>
      </x:c>
      <x:c r="F25" s="90" t="str">
        <x:f>IF(B25&lt;=ROUNDUP($E$11/2,0),"Yes","No")</x:f>
        <x:v>Yes</x:v>
      </x:c>
      <x:c r="G25" s="107"/>
      <x:c r="H25" s="107"/>
      <x:c r="I25" s="107"/>
      <x:c r="J25" s="107"/>
      <x:c r="K25" s="106"/>
      <x:c r="L25" s="106"/>
    </x:row>
    <x:row r="26" ht="15" hidden="0">
      <x:c r="A26" s="91" t="str">
        <x:v>Stressed Peer A</x:v>
      </x:c>
      <x:c r="B26" s="91" t="n">
        <x:f aca="0">IF(ISNUMBER(INDEX('Peer Metrics'!$P$5:$P$153,MATCH($A26,'Peer Metrics'!$A$5:$A$153,0))),1+COUNTIF('Peer Metrics'!$P$5:$P$153,"&gt;"&amp;INDEX('Peer Metrics'!$P$5:$P$153,MATCH($A26,'Peer Metrics'!$A$5:$A$153,0))),"n.a.")</x:f>
        <x:v>75</x:v>
      </x:c>
      <x:c r="C26" s="91" t="n">
        <x:f aca="0">IF(ISNUMBER(INDEX('Peer Metrics'!$H$5:$H$153,MATCH($A26,'Peer Metrics'!$A$5:$A$153,0))),1+COUNTIF('Peer Metrics'!$H$5:$H$153,"&gt;"&amp;INDEX('Peer Metrics'!$H$5:$H$153,MATCH($A26,'Peer Metrics'!$A$5:$A$153,0))),"n.a.")</x:f>
        <x:v>47</x:v>
      </x:c>
      <x:c r="D26" s="91" t="str">
        <x:f aca="0">IF(B26&lt;=$F$11,"Yes","No")</x:f>
        <x:v>No</x:v>
      </x:c>
      <x:c r="E26" s="92" t="n">
        <x:f>$E$11</x:f>
        <x:v>144</x:v>
      </x:c>
      <x:c r="F26" s="92" t="str">
        <x:f>IF(B26&lt;=ROUNDUP($E$11/2,0),"Yes","No")</x:f>
        <x:v>No</x:v>
      </x:c>
      <x:c r="G26" s="107"/>
      <x:c r="H26" s="107"/>
      <x:c r="I26" s="107"/>
      <x:c r="J26" s="107"/>
      <x:c r="K26" s="106"/>
      <x:c r="L26" s="106"/>
    </x:row>
    <x:row r="29" ht="15" hidden="0">
      <x:c r="A29" s="97" t="str">
        <x:v>How to read this</x:v>
      </x:c>
      <x:c r="B29" s="98" t="str">
        <x:v>How to read this</x:v>
      </x:c>
      <x:c r="C29" s="98" t="str">
        <x:v>How to read this</x:v>
      </x:c>
      <x:c r="D29" s="98" t="str">
        <x:v>How to read this</x:v>
      </x:c>
      <x:c r="E29" s="98" t="str">
        <x:v>How to read this</x:v>
      </x:c>
      <x:c r="F29" s="98" t="str">
        <x:v>How to read this</x:v>
      </x:c>
      <x:c r="G29" s="98" t="str">
        <x:v>How to read this</x:v>
      </x:c>
      <x:c r="H29" s="98" t="str">
        <x:v>How to read this</x:v>
      </x:c>
      <x:c r="I29" s="98" t="str">
        <x:v>How to read this</x:v>
      </x:c>
      <x:c r="J29" s="98" t="str">
        <x:v>How to read this</x:v>
      </x:c>
      <x:c r="K29" s="99" t="str">
        <x:v>How to read this</x:v>
      </x:c>
      <x:c r="L29" s="100" t="str">
        <x:v>How to read this</x:v>
      </x:c>
    </x:row>
    <x:row r="30" ht="72" hidden="0" customHeight="1">
      <x:c r="A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B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C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D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E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F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G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H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I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J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K30" s="109"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L30" s="109"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row>
  </x:sheetData>
  <x:mergeCells>
    <x:mergeCell ref="A1:L1"/>
    <x:mergeCell ref="A2:L2"/>
    <x:mergeCell ref="A20:L20"/>
    <x:mergeCell ref="A29:L29"/>
    <x:mergeCell ref="A30:L30"/>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8.6796875" defaultRowHeight="15"/>
  <x:cols>
    <x:col min="1" max="1" width="6" style="1" hidden="0" customWidth="1"/>
    <x:col min="2" max="2" width="34" style="1" hidden="0" customWidth="1"/>
    <x:col min="3" max="3" width="60" style="1" hidden="0" customWidth="1"/>
    <x:col min="4" max="4" width="46" style="1" hidden="0" customWidth="1"/>
  </x:cols>
  <x:sheetData>
    <x:row r="1" ht="30" hidden="0" customHeight="1">
      <x:c r="A1" s="2" t="str">
        <x:v>Review Findings and Current Status</x:v>
      </x:c>
      <x:c r="B1" s="2" t="str">
        <x:v>Review Findings and Current Status</x:v>
      </x:c>
      <x:c r="C1" s="2" t="str">
        <x:v>Review Findings and Current Status</x:v>
      </x:c>
      <x:c r="D1" s="2" t="str">
        <x:v>Review Findings and Current Status</x:v>
      </x:c>
    </x:row>
    <x:row r="2" ht="31.5" hidden="0" customHeight="1">
      <x:c r="A2" s="3" t="str">
        <x:v>Technical issues identified in the prior version and their status in this filing-safe version.</x:v>
      </x:c>
      <x:c r="B2" s="3" t="str">
        <x:v>Technical issues identified in the prior version and their status in this filing-safe version.</x:v>
      </x:c>
      <x:c r="C2" s="3" t="str">
        <x:v>Technical issues identified in the prior version and their status in this filing-safe version.</x:v>
      </x:c>
      <x:c r="D2" s="3" t="str">
        <x:v>Technical issues identified in the prior version and their status in this filing-safe version.</x:v>
      </x:c>
    </x:row>
    <x:row r="4" ht="34" hidden="0" customHeight="1">
      <x:c r="A4" s="72" t="str">
        <x:v>#</x:v>
      </x:c>
      <x:c r="B4" s="73" t="str">
        <x:v>Finding</x:v>
      </x:c>
      <x:c r="C4" s="73" t="str">
        <x:v>Updated evidence</x:v>
      </x:c>
      <x:c r="D4" s="76" t="str">
        <x:v>Resolution / next step</x:v>
      </x:c>
    </x:row>
    <x:row r="5" ht="72" hidden="0" customHeight="1">
      <x:c r="A5" s="81" t="n">
        <x:v>1</x:v>
      </x:c>
      <x:c r="B5" s="81" t="str">
        <x:v>Asset band not applied before scoring</x:v>
      </x:c>
      <x:c r="C5" s="81" t="str">
        <x:v>The code now enforces $10bn-$250bn locally before calculating percentiles, scores, and ranks. The corrected sample has 149 banks.</x:v>
      </x:c>
      <x:c r="D5" s="81" t="str">
        <x:v>Resolved in this version.</x:v>
      </x:c>
    </x:row>
    <x:row r="6" ht="72" hidden="0" customHeight="1">
      <x:c r="A6" s="81" t="n">
        <x:v>2</x:v>
      </x:c>
      <x:c r="B6" s="81" t="str">
        <x:v>Integration not yet shown to add value</x:v>
      </x:c>
      <x:c r="C6" s="81" t="str">
        <x:v>The integrated score and uninsured-deposit ratio each capture all three failures in the top 15.</x:v>
      </x:c>
      <x:c r="D6" s="81" t="str">
        <x:v>Open research question. Test 2008-2011 without changing version 1.0.</x:v>
      </x:c>
    </x:row>
    <x:row r="7" ht="72" hidden="0" customHeight="1">
      <x:c r="A7" s="81" t="n">
        <x:v>3</x:v>
      </x:c>
      <x:c r="B7" s="81" t="str">
        <x:v>Trigger chosen after seeing outcomes</x:v>
      </x:c>
      <x:c r="C7" s="81" t="str">
        <x:v>The 2023 result remains labeled in-sample.</x:v>
      </x:c>
      <x:c r="D7" s="81" t="str">
        <x:v>Freeze and date version 1.0 before accessing the out-of-episode test results.</x:v>
      </x:c>
    </x:row>
    <x:row r="8" ht="72" hidden="0" customHeight="1">
      <x:c r="A8" s="81" t="n">
        <x:v>4</x:v>
      </x:c>
      <x:c r="B8" s="81" t="str">
        <x:v>False positives not reported</x:v>
      </x:c>
      <x:c r="C8" s="81" t="str">
        <x:v>The trigger score flags 12 nonfailures among 15 top-decile banks. Precision is 20%; the false-positive share is 80%.</x:v>
      </x:c>
      <x:c r="D8" s="81" t="str">
        <x:v>Resolved for this diagnostic. Continue reporting precision and false positives.</x:v>
      </x:c>
    </x:row>
    <x:row r="9" ht="72" hidden="0" customHeight="1">
      <x:c r="A9" s="81" t="n">
        <x:v>5</x:v>
      </x:c>
      <x:c r="B9" s="81" t="str">
        <x:v>Spring 2023 stressed survivors</x:v>
      </x:c>
      <x:c r="C9" s="81" t="str">
        <x:v>Four of five stressed survivors rank above the trigger-score median, none is top decile, and Stressed Peer A ranks 75th of 144 complete scores.</x:v>
      </x:c>
      <x:c r="D9" s="81" t="str">
        <x:v>Included as an anonymized secondary diagnostic. Do not treat it as out-of-sample validation.</x:v>
      </x:c>
    </x:row>
    <x:row r="10" ht="72" hidden="0" customHeight="1">
      <x:c r="A10" s="81" t="n">
        <x:v>6</x:v>
      </x:c>
      <x:c r="B10" s="81" t="str">
        <x:v>Hardcoded summary values</x:v>
      </x:c>
      <x:c r="C10" s="81" t="str">
        <x:v>Peer counts, score medians, captures, false positives, and precision now link to formulas over the corrected data.</x:v>
      </x:c>
      <x:c r="D10" s="81" t="str">
        <x:v>Resolved in this version.</x:v>
      </x:c>
    </x:row>
    <x:row r="11" ht="72" hidden="0" customHeight="1">
      <x:c r="A11" s="81" t="n">
        <x:v>7</x:v>
      </x:c>
      <x:c r="B11" s="81" t="str">
        <x:v>Code and raw data missing</x:v>
      </x:c>
      <x:c r="C11" s="81" t="str">
        <x:v>The support package now includes analysis.py, cached FDIC/FRED source files, a README, and checksums.</x:v>
      </x:c>
      <x:c r="D11" s="81" t="str">
        <x:v>Resolved locally. Public repository and DOI remain outstanding.</x:v>
      </x:c>
    </x:row>
    <x:row r="12" ht="72" hidden="0" customHeight="1">
      <x:c r="A12" s="83" t="n">
        <x:v>8</x:v>
      </x:c>
      <x:c r="B12" s="83" t="str">
        <x:v>Named operating banks</x:v>
      </x:c>
      <x:c r="C12" s="83" t="str">
        <x:v>Nonfailed banks and their FDIC certificate identifiers are anonymized in this filed workbook.</x:v>
      </x:c>
      <x:c r="D12" s="83" t="str">
        <x:v>Resolved in this version. Keep the named working copy separate.</x:v>
      </x:c>
    </x:row>
  </x:sheetData>
  <x:mergeCells>
    <x:mergeCell ref="A1:D1"/>
    <x:mergeCell ref="A2:D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8.6796875" defaultRowHeight="15"/>
  <x:cols>
    <x:col min="1" max="1" width="6" style="1" hidden="0" customWidth="1"/>
    <x:col min="2" max="2" width="30" style="1" hidden="0" customWidth="1"/>
    <x:col min="3" max="3" width="44" style="1" hidden="0" customWidth="1"/>
    <x:col min="4" max="5" width="34" style="1" hidden="0" customWidth="1"/>
    <x:col min="6" max="6" width="16" style="1" hidden="0" customWidth="1"/>
  </x:cols>
  <x:sheetData>
    <x:row r="1" ht="30" hidden="0" customHeight="1">
      <x:c r="A1" s="2" t="s">
        <x:v>29</x:v>
      </x:c>
      <x:c r="B1" s="2"/>
      <x:c r="C1" s="2"/>
      <x:c r="D1" s="2"/>
      <x:c r="E1" s="2"/>
      <x:c r="F1" s="2"/>
    </x:row>
    <x:row r="2" ht="31.5" hidden="0" customHeight="1">
      <x:c r="A2" s="3" t="s">
        <x:v>30</x:v>
      </x:c>
      <x:c r="B2" s="3"/>
      <x:c r="C2" s="3"/>
      <x:c r="D2" s="3"/>
      <x:c r="E2" s="3"/>
      <x:c r="F2" s="3"/>
    </x:row>
    <x:row r="4" ht="34" hidden="0" customHeight="1">
      <x:c r="A4" s="72" t="str">
        <x:v>#</x:v>
      </x:c>
      <x:c r="B4" s="73" t="str">
        <x:v>Test</x:v>
      </x:c>
      <x:c r="C4" s="73" t="str">
        <x:v>Design</x:v>
      </x:c>
      <x:c r="D4" s="73" t="str">
        <x:v>Metric</x:v>
      </x:c>
      <x:c r="E4" s="73" t="str">
        <x:v>Pre-stated success criterion</x:v>
      </x:c>
      <x:c r="F4" s="76" t="str">
        <x:v>Target date</x:v>
      </x:c>
    </x:row>
    <x:row r="5" ht="36" hidden="0" customHeight="1">
      <x:c r="A5" s="128" t="str">
        <x:v>T1</x:v>
      </x:c>
      <x:c r="B5" s="128" t="str">
        <x:v>Freeze specification - completed</x:v>
      </x:c>
      <x:c r="C5" s="128" t="str">
        <x:v>Version 1.0.1 fixed the variables, missing-data rules, weights, trigger, and sample construction before any new test was run.</x:v>
      </x:c>
      <x:c r="D5" s="128" t="str">
        <x:v>Public dated specification</x:v>
      </x:c>
      <x:c r="E5" s="128" t="str">
        <x:v>Completed. Version 1.0.1 was archived on October 8, 2026 at doi:10.5281/zenodo.23246551.</x:v>
      </x:c>
      <x:c r="F5" s="128" t="str">
        <x:v>Completed October 8, 2026</x:v>
      </x:c>
    </x:row>
    <x:row r="6" ht="36" hidden="0" customHeight="1">
      <x:c r="A6" s="81" t="str">
        <x:v>T2</x:v>
      </x:c>
      <x:c r="B6" s="81" t="str">
        <x:v>Lead time on 2023 failures</x:v>
      </x:c>
      <x:c r="C6" s="81" t="str">
        <x:v>Descriptive only because 2023 informed the model. Track ranks from 2021Q1 through 2023Q1 without calling the result validation.</x:v>
      </x:c>
      <x:c r="D6" s="81" t="str">
        <x:v>Quarters in top decile before failure</x:v>
      </x:c>
      <x:c r="E6" s="81" t="str">
        <x:v>Report all three histories and every quarter; no pass/fail claim</x:v>
      </x:c>
      <x:c r="F6" s="81" t="str">
        <x:v>Q2 2027</x:v>
      </x:c>
    </x:row>
    <x:row r="7" ht="36" hidden="0" customHeight="1">
      <x:c r="A7" s="81" t="str">
        <x:v>T3</x:v>
      </x:c>
      <x:c r="B7" s="81" t="str">
        <x:v>Historical holdout: 2008-2011</x:v>
      </x:c>
      <x:c r="C7" s="81" t="str">
        <x:v>Apply frozen version 1.0.1 unchanged to pre-crisis Call Report data. Outcome is FDIC failure in the following eight quarters.</x:v>
      </x:c>
      <x:c r="D7" s="81" t="str">
        <x:v>AUC, capture, precision, calibration</x:v>
      </x:c>
      <x:c r="E7" s="81" t="str">
        <x:v>AUC at least 0.70 and at least 0.03 above the best single-ratio benchmark</x:v>
      </x:c>
      <x:c r="F7" s="81" t="str">
        <x:v>Q3 2027</x:v>
      </x:c>
    </x:row>
    <x:row r="8" ht="150" hidden="0" customHeight="1">
      <x:c r="A8" s="81" t="str">
        <x:v>T4</x:v>
      </x:c>
      <x:c r="B8" s="81" t="str">
        <x:v>Historical holdout: 2019-2020</x:v>
      </x:c>
      <x:c r="C8" s="81" t="str">
        <x:v>Primary test: apply frozen version 1.0.1 unchanged to a single 2019Q4 baseline and follow each bank for four quarters through 2020Q4. Secondary robustness test: rolling 2019Q1-2019Q4 baselines, each followed for four quarters. Outcome, measured over the same four-quarter window for every component: FDIC failure, a decline in equity-to-assets of at least 2 percentage points, or an increase in noncurrent loans-to-gross loans of at least 1 percentage point that also reaches 2%. An eight-quarter failure analysis may be reported separately as a secondary endpoint. Any results from 2020 baselines are labeled contemporaneous monitoring, not pre-stress prediction.</x:v>
      </x:c>
      <x:c r="D8" s="81" t="str">
        <x:v>AUC, top-decile capture and precision; bank-clustered confidence intervals for the rolling secondary test</x:v>
      </x:c>
      <x:c r="E8" s="81" t="str">
        <x:v>Primary test passes only if AUC is at least 0.70, at least 0.03 above the best single-ratio AUC, and top-decile precision is at least 5 percentage points above the best single ratio. Secondary, eight-quarter, and monitoring results are reported but do not determine pass or fail.</x:v>
      </x:c>
      <x:c r="F8" s="81" t="str">
        <x:v>Q4 2027</x:v>
      </x:c>
    </x:row>
    <x:row r="9" ht="105" hidden="0" customHeight="1">
      <x:c r="A9" s="81" t="str">
        <x:v>T5</x:v>
      </x:c>
      <x:c r="B9" s="81" t="str">
        <x:v>Prospective validation</x:v>
      </x:c>
      <x:c r="C9" s="81" t="str">
        <x:v>Apply frozen version 1.0.1 unchanged to a single 2026Q3 baseline, the first quarter whose Call Report data were not available when version 1.0.1 was frozen. Follow each eligible bank for eight quarters through 2028Q3. Outcome over that eight-quarter window: FDIC failure, a decline in equity-to-assets of at least 2 percentage points, or an increase in noncurrent loans-to-gross loans of at least 1 percentage point that also reaches 2%. Do not retune after results become available.</x:v>
      </x:c>
      <x:c r="D9" s="81" t="str">
        <x:v>AUC, top-decile capture and precision, confidence intervals</x:v>
      </x:c>
      <x:c r="E9" s="81" t="str">
        <x:v>Same pass marks as the T4 primary test. If fewer than five outcome banks occur, classify the test as inconclusive and continue observation without retuning.</x:v>
      </x:c>
      <x:c r="F9" s="81" t="str">
        <x:v>Q1 2029</x:v>
      </x:c>
    </x:row>
    <x:row r="10" ht="36" hidden="0" customHeight="1">
      <x:c r="A10" s="81" t="str">
        <x:v>T6</x:v>
      </x:c>
      <x:c r="B10" s="81" t="str">
        <x:v>Cross-episode robustness</x:v>
      </x:c>
      <x:c r="C10" s="81" t="str">
        <x:v>Compare the integrated score with each single ratio and a simple ratio screen across T3-T5 and the 2023 development diagnostic.</x:v>
      </x:c>
      <x:c r="D10" s="81" t="str">
        <x:v>Worst-episode AUC per signal</x:v>
      </x:c>
      <x:c r="E10" s="81" t="str">
        <x:v>Highest worst-episode AUC and no episode more than 0.02 below the best benchmark</x:v>
      </x:c>
      <x:c r="F10" s="81" t="str">
        <x:v>Q1 2029</x:v>
      </x:c>
    </x:row>
    <x:row r="11" ht="48" hidden="0" customHeight="1">
      <x:c r="A11" s="81" t="str">
        <x:v>T7</x:v>
      </x:c>
      <x:c r="B11" s="81" t="str">
        <x:v>False-positive burden</x:v>
      </x:c>
      <x:c r="C11" s="81" t="str">
        <x:v>Measure precision at fixed top-decile and top-quintile cutoffs and document stressed survivors and ordinary survivors.</x:v>
      </x:c>
      <x:c r="D11" s="81" t="str">
        <x:v>Precision, false-positive share, review volume</x:v>
      </x:c>
      <x:c r="E11" s="81" t="str">
        <x:v>Report all results. The integrated score must improve precision by at least 5 percentage points over the best single ratio to claim operational advantage</x:v>
      </x:c>
      <x:c r="F11" s="81" t="str">
        <x:v>Q1 2029</x:v>
      </x:c>
    </x:row>
    <x:row r="12" ht="24" hidden="0" customHeight="1">
      <x:c r="A12" s="81" t="str">
        <x:v>T8</x:v>
      </x:c>
      <x:c r="B12" s="81" t="str">
        <x:v>Smaller banks</x:v>
      </x:c>
      <x:c r="C12" s="81" t="str">
        <x:v>Extend the frozen method from $10bn-$250bn banks to $1bn-$10bn banks without retuning.</x:v>
      </x:c>
      <x:c r="D12" s="81" t="str">
        <x:v>Same metrics as T3-T7</x:v>
      </x:c>
      <x:c r="E12" s="81" t="str">
        <x:v>AUC no more than 0.05 below performance in the primary size band</x:v>
      </x:c>
      <x:c r="F12" s="81" t="str">
        <x:v>Q2 2029</x:v>
      </x:c>
    </x:row>
    <x:row r="13" ht="36" hidden="0" customHeight="1">
      <x:c r="A13" s="81" t="str">
        <x:v>T9</x:v>
      </x:c>
      <x:c r="B13" s="81" t="str">
        <x:v>Benchmark published approaches</x:v>
      </x:c>
      <x:c r="C13" s="81" t="str">
        <x:v>Compare with public Federal Reserve and supervisory methodology documents where the inputs and outcomes are comparable.</x:v>
      </x:c>
      <x:c r="D13" s="81" t="str">
        <x:v>Qualitative mapping and rank comparison</x:v>
      </x:c>
      <x:c r="E13" s="81" t="str">
        <x:v>Documented differences, limitations, and complementary uses; no unsupported superiority claim</x:v>
      </x:c>
      <x:c r="F13" s="81" t="str">
        <x:v>Q4 2029</x:v>
      </x:c>
    </x:row>
    <x:row r="15" ht="25.5" customHeight="1">
      <x:c r="A15" s="131" t="str">
        <x:v>A failed or inconclusive test will be reported. The integrated method will not be described as superior unless it meets the frozen, quantitative criteria.</x:v>
      </x:c>
      <x:c r="B15" s="131"/>
      <x:c r="C15" s="131"/>
      <x:c r="D15" s="131"/>
      <x:c r="E15" s="131"/>
      <x:c r="F15" s="131"/>
    </x:row>
  </x:sheetData>
  <x:mergeCells>
    <x:mergeCell ref="A1:F1"/>
    <x:mergeCell ref="A2:F2"/>
    <x:mergeCell ref="A15:F15"/>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8.6796875" defaultRowHeight="15"/>
  <x:cols>
    <x:col min="1" max="2" width="16" style="1" hidden="0" customWidth="1"/>
    <x:col min="3" max="3" width="40" style="1" hidden="0" customWidth="1"/>
    <x:col min="4" max="4" width="34" style="1" hidden="0" customWidth="1"/>
    <x:col min="5" max="5" width="30" style="1" hidden="0" customWidth="1"/>
    <x:col min="6" max="6" width="14" style="1" hidden="0" customWidth="1"/>
  </x:cols>
  <x:sheetData>
    <x:row r="1" ht="30" hidden="0" customHeight="1">
      <x:c r="A1" s="2" t="s">
        <x:v>31</x:v>
      </x:c>
      <x:c r="B1" s="2"/>
      <x:c r="C1" s="2"/>
      <x:c r="D1" s="2"/>
      <x:c r="E1" s="2"/>
      <x:c r="F1" s="2"/>
    </x:row>
    <x:row r="2" ht="31.5" hidden="0" customHeight="1">
      <x:c r="A2" s="3" t="s">
        <x:v>32</x:v>
      </x:c>
      <x:c r="B2" s="3"/>
      <x:c r="C2" s="3"/>
      <x:c r="D2" s="3"/>
      <x:c r="E2" s="3"/>
      <x:c r="F2" s="3"/>
    </x:row>
    <x:row r="4" ht="15" hidden="0">
      <x:c r="A4" s="8" t="s">
        <x:v>33</x:v>
      </x:c>
      <x:c r="B4" s="8" t="s">
        <x:v>34</x:v>
      </x:c>
      <x:c r="C4" s="8" t="s">
        <x:v>35</x:v>
      </x:c>
      <x:c r="D4" s="8" t="s">
        <x:v>36</x:v>
      </x:c>
      <x:c r="E4" s="8" t="s">
        <x:v>37</x:v>
      </x:c>
      <x:c r="F4" s="8" t="s">
        <x:v>8</x:v>
      </x:c>
    </x:row>
    <x:row r="5" ht="36" hidden="0" customHeight="1">
      <x:c r="A5" s="77" t="str">
        <x:v>0. Set-up</x:v>
      </x:c>
      <x:c r="B5" s="77" t="str">
        <x:v>Q4 2026</x:v>
      </x:c>
      <x:c r="C5" s="77" t="str">
        <x:v>Correct peer filter; recompute scores; disclose false positives; anonymize filed workbook; archive code and raw data</x:v>
      </x:c>
      <x:c r="D5" s="77" t="str">
        <x:v>Corrected workbook and reproducibility package</x:v>
      </x:c>
      <x:c r="E5" s="77" t="str">
        <x:v>Workbook formulas; code; raw sources; checksum manifest</x:v>
      </x:c>
      <x:c r="F5" s="133" t="str">
        <x:v>Completed</x:v>
      </x:c>
    </x:row>
    <x:row r="6" ht="24" hidden="0" customHeight="1">
      <x:c r="A6" s="77" t="str">
        <x:v>0. Set-up</x:v>
      </x:c>
      <x:c r="B6" s="77" t="str">
        <x:v>Q4 2026</x:v>
      </x:c>
      <x:c r="C6" s="77" t="str">
        <x:v>Confirm personal-time separation and any required outside-activity approval</x:v>
      </x:c>
      <x:c r="D6" s="77" t="str">
        <x:v>Written confirmation or approval record</x:v>
      </x:c>
      <x:c r="E6" s="77" t="str">
        <x:v>Dated note or employer approval, if required</x:v>
      </x:c>
      <x:c r="F6" s="132" t="str">
        <x:v>User action required</x:v>
      </x:c>
    </x:row>
    <x:row r="7" ht="15" hidden="0" customHeight="1">
      <x:c r="A7" s="77" t="str">
        <x:v>1. Validate</x:v>
      </x:c>
      <x:c r="B7" s="77" t="str">
        <x:v>October 8, 2026</x:v>
      </x:c>
      <x:c r="C7" s="77" t="str">
        <x:v>Freeze and publish version 1.0.1 specification</x:v>
      </x:c>
      <x:c r="D7" s="77" t="str">
        <x:v>Public frozen specification</x:v>
      </x:c>
      <x:c r="E7" s="77" t="str">
        <x:v>doi:10.5281/zenodo.23246551</x:v>
      </x:c>
      <x:c r="F7" s="133" t="str">
        <x:v>Completed</x:v>
      </x:c>
    </x:row>
    <x:row r="8" ht="24" hidden="0" customHeight="1">
      <x:c r="A8" s="77" t="str">
        <x:v>1. Validate</x:v>
      </x:c>
      <x:c r="B8" s="77" t="str">
        <x:v>Q1 to Q2 2027</x:v>
      </x:c>
      <x:c r="C8" s="77" t="str">
        <x:v>Build quarterly bank panel (2001 to latest) from Call Reports; add FRED macro series</x:v>
      </x:c>
      <x:c r="D8" s="77" t="str">
        <x:v>Reproducible data pipeline</x:v>
      </x:c>
      <x:c r="E8" s="77" t="str">
        <x:v>Repository release</x:v>
      </x:c>
      <x:c r="F8" s="132" t="str">
        <x:v>Planned</x:v>
      </x:c>
    </x:row>
    <x:row r="9" ht="24" hidden="0" customHeight="1">
      <x:c r="A9" s="77" t="str">
        <x:v>1. Validate</x:v>
      </x:c>
      <x:c r="B9" s="77" t="str">
        <x:v>Q2 to Q4 2027</x:v>
      </x:c>
      <x:c r="C9" s="77" t="str">
        <x:v>Run T2-T4 and initial T6-T7 analyses without retuning</x:v>
      </x:c>
      <x:c r="D9" s="77" t="str">
        <x:v>Historical validation results report</x:v>
      </x:c>
      <x:c r="E9" s="77" t="str">
        <x:v>Public report with all results, including failures and inconclusive tests</x:v>
      </x:c>
      <x:c r="F9" s="132" t="str">
        <x:v>Planned</x:v>
      </x:c>
    </x:row>
    <x:row r="10" ht="36" hidden="0" customHeight="1">
      <x:c r="A10" s="77" t="str">
        <x:v>1. Validate</x:v>
      </x:c>
      <x:c r="B10" s="77" t="str">
        <x:v>Q4 2028 to Q1 2029</x:v>
      </x:c>
      <x:c r="C10" s="77" t="str">
        <x:v>Complete the prospective T5 outcome window (2026Q3 baseline through 2028Q3); update T6-T7</x:v>
      </x:c>
      <x:c r="D10" s="77" t="str">
        <x:v>Prospective validation report</x:v>
      </x:c>
      <x:c r="E10" s="77" t="str">
        <x:v>Dated public report using the frozen specification</x:v>
      </x:c>
      <x:c r="F10" s="132" t="str">
        <x:v>Planned</x:v>
      </x:c>
    </x:row>
    <x:row r="11" ht="24" hidden="0" customHeight="1">
      <x:c r="A11" s="77" t="str">
        <x:v>2. Share findings</x:v>
      </x:c>
      <x:c r="B11" s="77" t="str">
        <x:v>Q3 2027</x:v>
      </x:c>
      <x:c r="C11" s="77" t="str">
        <x:v>Working paper</x:v>
      </x:c>
      <x:c r="D11" s="77" t="str">
        <x:v>Paper posted on SSRN</x:v>
      </x:c>
      <x:c r="E11" s="77" t="str">
        <x:v>SSRN posting date and download count</x:v>
      </x:c>
      <x:c r="F11" s="132" t="str">
        <x:v>Planned</x:v>
      </x:c>
    </x:row>
    <x:row r="12" ht="36" hidden="0" customHeight="1">
      <x:c r="A12" s="77" t="str">
        <x:v>2. Share findings</x:v>
      </x:c>
      <x:c r="B12" s="77" t="str">
        <x:v>Q4 2027 to Q2 2029</x:v>
      </x:c>
      <x:c r="C12" s="77" t="str">
        <x:v>Present to practitioners and researchers</x:v>
      </x:c>
      <x:c r="D12" s="77" t="str">
        <x:v>Talks, e.g., GARP chapter, a state bankers association, the Federal Reserve and CSBS Community Banking research conference</x:v>
      </x:c>
      <x:c r="E12" s="77" t="str">
        <x:v>Invitations, programs, attendee counts</x:v>
      </x:c>
      <x:c r="F12" s="132" t="str">
        <x:v>Planned</x:v>
      </x:c>
    </x:row>
    <x:row r="13" ht="24" hidden="0" customHeight="1">
      <x:c r="A13" s="77" t="str">
        <x:v>2. Share findings</x:v>
      </x:c>
      <x:c r="B13" s="77" t="str">
        <x:v>Q2 2029</x:v>
      </x:c>
      <x:c r="C13" s="77" t="str">
        <x:v>Submit updated evidence to a peer-reviewed journal</x:v>
      </x:c>
      <x:c r="D13" s="77" t="str">
        <x:v>Journal submission including historical and prospective results</x:v>
      </x:c>
      <x:c r="E13" s="77" t="str">
        <x:v>Submission confirmation; reviewer feedback</x:v>
      </x:c>
      <x:c r="F13" s="132" t="str">
        <x:v>Planned</x:v>
      </x:c>
    </x:row>
    <x:row r="14" ht="60" hidden="0" customHeight="1">
      <x:c r="A14" s="7" t="s">
        <x:v>38</x:v>
      </x:c>
      <x:c r="B14" s="7" t="str">
        <x:v>Q4 2028 to Q2 2029</x:v>
      </x:c>
      <x:c r="C14" s="7" t="str">
        <x:v>Publish validation protocol aligned with model risk management guidance (SR 11-7); release a bank self-assessment template; extend the frozen method to $1bn-$10bn banks (T8)</x:v>
      </x:c>
      <x:c r="D14" s="7" t="str">
        <x:v>Protocol document; Excel and Python self-assessment template with user guide; T8 results</x:v>
      </x:c>
      <x:c r="E14" s="7" t="str">
        <x:v>Public releases; downloads; feedback from banks</x:v>
      </x:c>
      <x:c r="F14" s="30" t="s">
        <x:v>43</x:v>
      </x:c>
    </x:row>
    <x:row r="15" ht="43.5" hidden="0" customHeight="1">
      <x:c r="A15" s="7" t="s">
        <x:v>44</x:v>
      </x:c>
      <x:c r="B15" s="7" t="s">
        <x:v>45</x:v>
      </x:c>
      <x:c r="C15" s="7" t="s">
        <x:v>46</x:v>
      </x:c>
      <x:c r="D15" s="7" t="s">
        <x:v>47</x:v>
      </x:c>
      <x:c r="E15" s="7" t="s">
        <x:v>48</x:v>
      </x:c>
      <x:c r="F15" s="30" t="s">
        <x:v>43</x:v>
      </x:c>
    </x:row>
    <x:row r="16" ht="43.5" hidden="0" customHeight="1">
      <x:c r="A16" s="7" t="s">
        <x:v>44</x:v>
      </x:c>
      <x:c r="B16" s="7" t="s">
        <x:v>49</x:v>
      </x:c>
      <x:c r="C16" s="7" t="str">
        <x:v>Refresh with each year-end Call Report cycle; compare with published Federal Reserve models (T9)</x:v>
      </x:c>
      <x:c r="D16" s="7" t="s">
        <x:v>51</x:v>
      </x:c>
      <x:c r="E16" s="7" t="s">
        <x:v>52</x:v>
      </x:c>
      <x:c r="F16" s="30" t="s">
        <x:v>43</x:v>
      </x:c>
    </x:row>
    <x:row r="18" ht="15" hidden="0" customHeight="1">
      <x:c r="A18" s="31" t="s">
        <x:v>53</x:v>
      </x:c>
      <x:c r="B18" s="31"/>
      <x:c r="C18" s="31"/>
      <x:c r="D18" s="31"/>
      <x:c r="E18" s="31"/>
      <x:c r="F18" s="31"/>
    </x:row>
  </x:sheetData>
  <x:mergeCells>
    <x:mergeCell ref="A1:F1"/>
    <x:mergeCell ref="A2:F2"/>
    <x:mergeCell ref="A18:F18"/>
  </x:mergeCells>
  <x:pageMargins left="0.7" right="0.7" top="0.75" bottom="0.75" header="0.3" footer="0.3"/>
</x:worksheet>
</file>

<file path=xl/worksheets/sheet7.xml><?xml version="1.0" encoding="utf-8"?>
<x:worksheet xmlns:x="http://schemas.openxmlformats.org/spreadsheetml/2006/main">
  <x:sheetPr>
    <x:tabColor rgb="FFB23A48"/>
  </x:sheetPr>
  <x:sheetViews>
    <x:sheetView showGridLines="0" workbookViewId="0">
      <x:pane ySplit="4" topLeftCell="A5" activePane="bottomLeft" state="frozen"/>
    </x:sheetView>
  </x:sheetViews>
  <x:sheetFormatPr defaultColWidth="8.6796875" defaultRowHeight="15"/>
  <x:cols>
    <x:col min="1" max="1" width="28" style="1" hidden="0" customWidth="1"/>
    <x:col min="2" max="16" width="14" style="1" hidden="0" customWidth="1"/>
  </x:cols>
  <x:sheetData>
    <x:row r="1" ht="31.5" hidden="0" customHeight="1">
      <x:c r="A1" s="9" t="s">
        <x:v>54</x:v>
      </x:c>
      <x:c r="B1" s="9"/>
      <x:c r="C1" s="9"/>
      <x:c r="D1" s="9"/>
      <x:c r="E1" s="9"/>
      <x:c r="F1" s="9"/>
      <x:c r="G1" s="9"/>
      <x:c r="H1" s="9"/>
      <x:c r="I1" s="9"/>
      <x:c r="J1" s="9"/>
      <x:c r="K1" s="9"/>
      <x:c r="L1" s="9"/>
      <x:c r="M1" s="9"/>
      <x:c r="N1" s="9"/>
      <x:c r="O1" s="9"/>
      <x:c r="P1" s="9"/>
    </x:row>
    <x:row r="2" ht="33.75" hidden="0" customHeight="1">
      <x:c r="A2" s="10" t="s">
        <x:v>55</x:v>
      </x:c>
      <x:c r="B2" s="10"/>
      <x:c r="C2" s="10"/>
      <x:c r="D2" s="10"/>
      <x:c r="E2" s="10"/>
      <x:c r="F2" s="10"/>
      <x:c r="G2" s="10"/>
      <x:c r="H2" s="10"/>
      <x:c r="I2" s="10"/>
      <x:c r="J2" s="10"/>
      <x:c r="K2" s="10"/>
      <x:c r="L2" s="10"/>
      <x:c r="M2" s="10"/>
      <x:c r="N2" s="10"/>
      <x:c r="O2" s="10"/>
      <x:c r="P2" s="10"/>
    </x:row>
    <x:row r="4" ht="34" hidden="0" customHeight="1">
      <x:c r="A4" s="52" t="str">
        <x:v>Institution</x:v>
      </x:c>
      <x:c r="B4" s="53" t="str">
        <x:v>FDIC Cert</x:v>
      </x:c>
      <x:c r="C4" s="53" t="str">
        <x:v>Failure date</x:v>
      </x:c>
      <x:c r="D4" s="53" t="str">
        <x:v>Assets ($bn)</x:v>
      </x:c>
      <x:c r="E4" s="53" t="str">
        <x:v>Capital / assets</x:v>
      </x:c>
      <x:c r="F4" s="53" t="str">
        <x:v>Cash / assets</x:v>
      </x:c>
      <x:c r="G4" s="53" t="str">
        <x:v>Securities / assets</x:v>
      </x:c>
      <x:c r="H4" s="53" t="str">
        <x:v>MTM gap / equity</x:v>
      </x:c>
      <x:c r="I4" s="53" t="str">
        <x:v>Uninsured deposits / deposits</x:v>
      </x:c>
      <x:c r="J4" s="53" t="str">
        <x:v>Noncurrent loans / loans</x:v>
      </x:c>
      <x:c r="K4" s="53" t="str">
        <x:v>Rate score</x:v>
      </x:c>
      <x:c r="L4" s="53" t="str">
        <x:v>Funding score</x:v>
      </x:c>
      <x:c r="M4" s="53" t="str">
        <x:v>Credit score</x:v>
      </x:c>
      <x:c r="N4" s="53" t="str">
        <x:v>Baseline rank</x:v>
      </x:c>
      <x:c r="O4" s="53" t="str">
        <x:v>Trigger rank</x:v>
      </x:c>
      <x:c r="P4" s="54" t="str">
        <x:v>Trigger score</x:v>
      </x:c>
    </x:row>
    <x:row r="5" ht="15" hidden="0">
      <x:c r="A5" s="59" t="str">
        <x:v>SILICON VALLEY BANK</x:v>
      </x:c>
      <x:c r="B5" s="59" t="n">
        <x:v>24735</x:v>
      </x:c>
      <x:c r="C5" s="59" t="str">
        <x:v>3/10/2023</x:v>
      </x:c>
      <x:c r="D5" s="63" t="n">
        <x:v>209.026</x:v>
      </x:c>
      <x:c r="E5" s="65" t="n">
        <x:v>0.07394295446499478</x:v>
      </x:c>
      <x:c r="F5" s="65" t="n">
        <x:v>0.05985379809210337</x:v>
      </x:c>
      <x:c r="G5" s="65" t="n">
        <x:v>0.5611598557117297</x:v>
      </x:c>
      <x:c r="H5" s="65" t="n">
        <x:v>0.9803959627329193</x:v>
      </x:c>
      <x:c r="I5" s="65" t="n">
        <x:v>0.8643729544184562</x:v>
      </x:c>
      <x:c r="J5" s="65" t="n">
        <x:v>0.0018720790852402053</x:v>
      </x:c>
      <x:c r="K5" s="65" t="n">
        <x:v>0.9728766489238603</x:v>
      </x:c>
      <x:c r="L5" s="65" t="n">
        <x:v>0.6375838926174497</x:v>
      </x:c>
      <x:c r="M5" s="65" t="n">
        <x:v>0.28716216216216217</x:v>
      </x:c>
      <x:c r="N5" s="59" t="n">
        <x:v>4</x:v>
      </x:c>
      <x:c r="O5" s="59" t="n">
        <x:v>5</x:v>
      </x:c>
      <x:c r="P5" s="63" t="n">
        <x:v>81.5244742746716</x:v>
      </x:c>
    </x:row>
    <x:row r="6" ht="15" hidden="0">
      <x:c r="A6" s="59" t="str">
        <x:v>FIRST REPUBLIC BANK</x:v>
      </x:c>
      <x:c r="B6" s="59" t="n">
        <x:v>59017</x:v>
      </x:c>
      <x:c r="C6" s="59" t="str">
        <x:v>5/1/2023</x:v>
      </x:c>
      <x:c r="D6" s="63" t="n">
        <x:v>212.638872</x:v>
      </x:c>
      <x:c r="E6" s="65" t="n">
        <x:v>0.08204486242759979</x:v>
      </x:c>
      <x:c r="F6" s="65" t="n">
        <x:v>0.020143076191638187</x:v>
      </x:c>
      <x:c r="G6" s="65" t="n">
        <x:v>0.14916755672029713</x:v>
      </x:c>
      <x:c r="H6" s="65" t="n">
        <x:v>0.27425432881841133</x:v>
      </x:c>
      <x:c r="I6" s="65" t="n">
        <x:v>0.6771309706949528</x:v>
      </x:c>
      <x:c r="J6" s="65" t="n">
        <x:v>0.0006518233350692437</x:v>
      </x:c>
      <x:c r="K6" s="65" t="n">
        <x:v>0.630039342744735</x:v>
      </x:c>
      <x:c r="L6" s="65" t="n">
        <x:v>0.8557046979865772</x:v>
      </x:c>
      <x:c r="M6" s="65" t="n">
        <x:v>0.07770270270270271</x:v>
      </x:c>
      <x:c r="N6" s="59" t="n">
        <x:v>28</x:v>
      </x:c>
      <x:c r="O6" s="59" t="n">
        <x:v>10</x:v>
      </x:c>
      <x:c r="P6" s="63" t="n">
        <x:v>78.26600796580571</x:v>
      </x:c>
    </x:row>
    <x:row r="7" ht="15" hidden="0">
      <x:c r="A7" s="61" t="str">
        <x:v>SIGNATURE BANK</x:v>
      </x:c>
      <x:c r="B7" s="61" t="n">
        <x:v>57053</x:v>
      </x:c>
      <x:c r="C7" s="61" t="str">
        <x:v>3/12/2023</x:v>
      </x:c>
      <x:c r="D7" s="64" t="n">
        <x:v>110.36365</x:v>
      </x:c>
      <x:c r="E7" s="66" t="n">
        <x:v>0.07260634275868912</x:v>
      </x:c>
      <x:c r="F7" s="66" t="n">
        <x:v>0.05494118761023217</x:v>
      </x:c>
      <x:c r="G7" s="66" t="n">
        <x:v>0.23696926478962957</x:v>
      </x:c>
      <x:c r="H7" s="66" t="n">
        <x:v>0.09511586088831278</x:v>
      </x:c>
      <x:c r="I7" s="66" t="n">
        <x:v>0.8966973334167975</x:v>
      </x:c>
      <x:c r="J7" s="66" t="n">
        <x:v>0.0031869477705020995</x:v>
      </x:c>
      <x:c r="K7" s="66" t="n">
        <x:v>0.6943763017819949</x:v>
      </x:c>
      <x:c r="L7" s="66" t="n">
        <x:v>0.6577181208053691</x:v>
      </x:c>
      <x:c r="M7" s="66" t="n">
        <x:v>0.3547297297297297</x:v>
      </x:c>
      <x:c r="N7" s="61" t="n">
        <x:v>27</x:v>
      </x:c>
      <x:c r="O7" s="61" t="n">
        <x:v>15</x:v>
      </x:c>
      <x:c r="P7" s="64" t="n">
        <x:v>76.2227398852054</x:v>
      </x:c>
    </x:row>
  </x:sheetData>
  <x:mergeCells>
    <x:mergeCell ref="A1:P1"/>
    <x:mergeCell ref="A2:P2"/>
  </x:mergeCells>
  <x:pageMargins left="0.7" right="0.7" top="0.75" bottom="0.75" header="0.3" footer="0.3"/>
  <x:tableParts count="1">
    <x:tablePart xmlns:r="http://schemas.openxmlformats.org/officeDocument/2006/relationships" r:id="Rd03645c606444e18"/>
  </x:tableParts>
</x:worksheet>
</file>

<file path=xl/worksheets/sheet8.xml><?xml version="1.0" encoding="utf-8"?>
<x:worksheet xmlns:x="http://schemas.openxmlformats.org/spreadsheetml/2006/main">
  <x:sheetPr>
    <x:tabColor rgb="FF2F6B5E"/>
  </x:sheetPr>
  <x:sheetViews>
    <x:sheetView showGridLines="0" workbookViewId="0">
      <x:pane ySplit="4" topLeftCell="A5" activePane="bottomLeft" state="frozen"/>
    </x:sheetView>
  </x:sheetViews>
  <x:sheetFormatPr defaultColWidth="8.6796875" defaultRowHeight="15"/>
  <x:cols>
    <x:col min="1" max="1" width="38" style="1" hidden="0" customWidth="1"/>
    <x:col min="2" max="5" width="16" style="1" hidden="0" customWidth="1"/>
    <x:col min="6" max="6" width="16" hidden="0" customWidth="1"/>
    <x:col min="7" max="7" width="16" hidden="0" customWidth="1"/>
    <x:col min="8" max="8" width="16" hidden="0" customWidth="1"/>
  </x:cols>
  <x:sheetData>
    <x:row r="1" ht="31.5" hidden="0" customHeight="1">
      <x:c r="A1" s="9" t="str">
        <x:v>Historical Top-Decile Capture and False Positives</x:v>
      </x:c>
      <x:c r="B1" s="9" t="str">
        <x:v>Historical Top-Decile Capture and False Positives</x:v>
      </x:c>
      <x:c r="C1" s="9" t="str">
        <x:v>Historical Top-Decile Capture and False Positives</x:v>
      </x:c>
      <x:c r="D1" s="9" t="str">
        <x:v>Historical Top-Decile Capture and False Positives</x:v>
      </x:c>
      <x:c r="E1" s="9" t="str">
        <x:v>Historical Top-Decile Capture and False Positives</x:v>
      </x:c>
      <x:c r="F1" t="str">
        <x:v>Historical Top-Decile Capture and False Positives</x:v>
      </x:c>
      <x:c r="G1" t="str">
        <x:v>Historical Top-Decile Capture and False Positives</x:v>
      </x:c>
      <x:c r="H1" t="str">
        <x:v>Historical Top-Decile Capture and False Positives</x:v>
      </x:c>
    </x:row>
    <x:row r="2" ht="33.75" hidden="0" customHeight="1">
      <x:c r="A2" s="10" t="str">
        <x:v>Corrected 149-bank sample. The top-decile cutoff is 15 banks for each signal with complete data.</x:v>
      </x:c>
      <x:c r="B2" s="10" t="str">
        <x:v>Corrected 149-bank sample. The top-decile cutoff is 15 banks for each signal with complete data.</x:v>
      </x:c>
      <x:c r="C2" s="10" t="str">
        <x:v>Corrected 149-bank sample. The top-decile cutoff is 15 banks for each signal with complete data.</x:v>
      </x:c>
      <x:c r="D2" s="10" t="str">
        <x:v>Corrected 149-bank sample. The top-decile cutoff is 15 banks for each signal with complete data.</x:v>
      </x:c>
      <x:c r="E2" s="10" t="str">
        <x:v>Corrected 149-bank sample. The top-decile cutoff is 15 banks for each signal with complete data.</x:v>
      </x:c>
      <x:c r="F2" t="str">
        <x:v>Corrected 149-bank sample. The top-decile cutoff is 15 banks for each signal with complete data.</x:v>
      </x:c>
      <x:c r="G2" t="str">
        <x:v>Corrected 149-bank sample. The top-decile cutoff is 15 banks for each signal with complete data.</x:v>
      </x:c>
      <x:c r="H2" t="str">
        <x:v>Corrected 149-bank sample. The top-decile cutoff is 15 banks for each signal with complete data.</x:v>
      </x:c>
    </x:row>
    <x:row r="4" ht="34" hidden="0" customHeight="1">
      <x:c r="A4" s="115" t="str">
        <x:v>Signal</x:v>
      </x:c>
      <x:c r="B4" s="115" t="str">
        <x:v>Top-decile institutions</x:v>
      </x:c>
      <x:c r="C4" s="115" t="str">
        <x:v>Failures in sample</x:v>
      </x:c>
      <x:c r="D4" s="115" t="str">
        <x:v>Failures captured</x:v>
      </x:c>
      <x:c r="E4" s="115" t="str">
        <x:v>Capture rate</x:v>
      </x:c>
      <x:c r="F4" s="53" t="str">
        <x:v>False positives</x:v>
      </x:c>
      <x:c r="G4" s="53" t="str">
        <x:v>Precision</x:v>
      </x:c>
      <x:c r="H4" s="54" t="str">
        <x:v>False-positive share</x:v>
      </x:c>
    </x:row>
    <x:row r="5" ht="15" hidden="0">
      <x:c r="A5" s="116" t="str">
        <x:v>Trigger-augmented integrated score</x:v>
      </x:c>
      <x:c r="B5" s="116" t="n">
        <x:f>'Robustness Check'!F11</x:f>
        <x:v>15</x:v>
      </x:c>
      <x:c r="C5" s="116" t="n">
        <x:v>3</x:v>
      </x:c>
      <x:c r="D5" s="116" t="n">
        <x:f>'Robustness Check'!G11</x:f>
        <x:v>3</x:v>
      </x:c>
      <x:c r="E5" s="117" t="n">
        <x:f>'Robustness Check'!H11</x:f>
        <x:v>1</x:v>
      </x:c>
      <x:c r="F5" s="59" t="n">
        <x:f>'Robustness Check'!I11</x:f>
        <x:v>12</x:v>
      </x:c>
      <x:c r="G5" s="103" t="n">
        <x:f>'Robustness Check'!J11</x:f>
        <x:v>0.2</x:v>
      </x:c>
      <x:c r="H5" s="103" t="n">
        <x:f>'Robustness Check'!K11</x:f>
        <x:v>0.8</x:v>
      </x:c>
    </x:row>
    <x:row r="6" ht="15" hidden="0">
      <x:c r="A6" s="116" t="str">
        <x:v>Baseline weighted score</x:v>
      </x:c>
      <x:c r="B6" s="116" t="n">
        <x:f>'Robustness Check'!F12</x:f>
        <x:v>15</x:v>
      </x:c>
      <x:c r="C6" s="116" t="n">
        <x:v>3</x:v>
      </x:c>
      <x:c r="D6" s="116" t="n">
        <x:f>'Robustness Check'!G12</x:f>
        <x:v>1</x:v>
      </x:c>
      <x:c r="E6" s="117" t="n">
        <x:f>'Robustness Check'!H12</x:f>
        <x:v>0.3333333333333333</x:v>
      </x:c>
      <x:c r="F6" s="59" t="n">
        <x:f>'Robustness Check'!I12</x:f>
        <x:v>14</x:v>
      </x:c>
      <x:c r="G6" s="103" t="n">
        <x:f>'Robustness Check'!J12</x:f>
        <x:v>0.06666666666666667</x:v>
      </x:c>
      <x:c r="H6" s="103" t="n">
        <x:f>'Robustness Check'!K12</x:f>
        <x:v>0.9333333333333333</x:v>
      </x:c>
    </x:row>
    <x:row r="7" ht="15" hidden="0">
      <x:c r="A7" s="116" t="str">
        <x:v>Uninsured deposits / deposits</x:v>
      </x:c>
      <x:c r="B7" s="116" t="n">
        <x:f>'Robustness Check'!F13</x:f>
        <x:v>15</x:v>
      </x:c>
      <x:c r="C7" s="116" t="n">
        <x:v>3</x:v>
      </x:c>
      <x:c r="D7" s="116" t="n">
        <x:f>'Robustness Check'!G13</x:f>
        <x:v>3</x:v>
      </x:c>
      <x:c r="E7" s="117" t="n">
        <x:f>'Robustness Check'!H13</x:f>
        <x:v>1</x:v>
      </x:c>
      <x:c r="F7" s="59" t="n">
        <x:f>'Robustness Check'!I13</x:f>
        <x:v>12</x:v>
      </x:c>
      <x:c r="G7" s="103" t="n">
        <x:f>'Robustness Check'!J13</x:f>
        <x:v>0.2</x:v>
      </x:c>
      <x:c r="H7" s="103" t="n">
        <x:f>'Robustness Check'!K13</x:f>
        <x:v>0.8</x:v>
      </x:c>
    </x:row>
    <x:row r="8" ht="15" hidden="0">
      <x:c r="A8" s="116" t="str">
        <x:v>Securities MTM gap / equity</x:v>
      </x:c>
      <x:c r="B8" s="116" t="n">
        <x:f>'Robustness Check'!F14</x:f>
        <x:v>15</x:v>
      </x:c>
      <x:c r="C8" s="116" t="n">
        <x:v>3</x:v>
      </x:c>
      <x:c r="D8" s="116" t="n">
        <x:f>'Robustness Check'!G14</x:f>
        <x:v>2</x:v>
      </x:c>
      <x:c r="E8" s="117" t="n">
        <x:f>'Robustness Check'!H14</x:f>
        <x:v>0.6666666666666666</x:v>
      </x:c>
      <x:c r="F8" s="59" t="n">
        <x:f>'Robustness Check'!I14</x:f>
        <x:v>13</x:v>
      </x:c>
      <x:c r="G8" s="103" t="n">
        <x:f>'Robustness Check'!J14</x:f>
        <x:v>0.13333333333333333</x:v>
      </x:c>
      <x:c r="H8" s="103" t="n">
        <x:f>'Robustness Check'!K14</x:f>
        <x:v>0.8666666666666667</x:v>
      </x:c>
    </x:row>
    <x:row r="9" ht="15" hidden="0">
      <x:c r="A9" s="116" t="str">
        <x:v>Securities / assets</x:v>
      </x:c>
      <x:c r="B9" s="116" t="n">
        <x:f>'Robustness Check'!F15</x:f>
        <x:v>15</x:v>
      </x:c>
      <x:c r="C9" s="116" t="n">
        <x:v>3</x:v>
      </x:c>
      <x:c r="D9" s="116" t="n">
        <x:f>'Robustness Check'!G15</x:f>
        <x:v>1</x:v>
      </x:c>
      <x:c r="E9" s="117" t="n">
        <x:f>'Robustness Check'!H15</x:f>
        <x:v>0.3333333333333333</x:v>
      </x:c>
      <x:c r="F9" s="59" t="n">
        <x:f>'Robustness Check'!I15</x:f>
        <x:v>14</x:v>
      </x:c>
      <x:c r="G9" s="103" t="n">
        <x:f>'Robustness Check'!J15</x:f>
        <x:v>0.06666666666666667</x:v>
      </x:c>
      <x:c r="H9" s="103" t="n">
        <x:f>'Robustness Check'!K15</x:f>
        <x:v>0.9333333333333333</x:v>
      </x:c>
    </x:row>
    <x:row r="10" ht="15" hidden="0">
      <x:c r="A10" s="116" t="str">
        <x:v>Noncurrent loans / loans</x:v>
      </x:c>
      <x:c r="B10" s="116" t="n">
        <x:f>'Robustness Check'!F16</x:f>
        <x:v>15</x:v>
      </x:c>
      <x:c r="C10" s="116" t="n">
        <x:v>3</x:v>
      </x:c>
      <x:c r="D10" s="116" t="n">
        <x:f>'Robustness Check'!G16</x:f>
        <x:v>0</x:v>
      </x:c>
      <x:c r="E10" s="117" t="n">
        <x:f>'Robustness Check'!H16</x:f>
        <x:v>0</x:v>
      </x:c>
      <x:c r="F10" s="59" t="n">
        <x:f>'Robustness Check'!I16</x:f>
        <x:v>15</x:v>
      </x:c>
      <x:c r="G10" s="103" t="n">
        <x:f>'Robustness Check'!J16</x:f>
        <x:v>0</x:v>
      </x:c>
      <x:c r="H10" s="103" t="n">
        <x:f>'Robustness Check'!K16</x:f>
        <x:v>1</x:v>
      </x:c>
    </x:row>
    <x:row r="11" ht="15" hidden="0">
      <x:c r="A11" s="116" t="str">
        <x:v>Capital / assets</x:v>
      </x:c>
      <x:c r="B11" s="116" t="n">
        <x:f>'Robustness Check'!F17</x:f>
        <x:v>15</x:v>
      </x:c>
      <x:c r="C11" s="116" t="n">
        <x:v>3</x:v>
      </x:c>
      <x:c r="D11" s="116" t="n">
        <x:f>'Robustness Check'!G17</x:f>
        <x:v>0</x:v>
      </x:c>
      <x:c r="E11" s="117" t="n">
        <x:f>'Robustness Check'!H17</x:f>
        <x:v>0</x:v>
      </x:c>
      <x:c r="F11" s="59" t="n">
        <x:f>'Robustness Check'!I17</x:f>
        <x:v>15</x:v>
      </x:c>
      <x:c r="G11" s="103" t="n">
        <x:f>'Robustness Check'!J17</x:f>
        <x:v>0</x:v>
      </x:c>
      <x:c r="H11" s="103" t="n">
        <x:f>'Robustness Check'!K17</x:f>
        <x:v>1</x:v>
      </x:c>
    </x:row>
    <x:row r="12" ht="15" hidden="0">
      <x:c r="A12" s="118" t="str">
        <x:v>Cash / assets</x:v>
      </x:c>
      <x:c r="B12" s="118" t="n">
        <x:f>'Robustness Check'!F18</x:f>
        <x:v>15</x:v>
      </x:c>
      <x:c r="C12" s="118" t="n">
        <x:v>3</x:v>
      </x:c>
      <x:c r="D12" s="118" t="n">
        <x:f>'Robustness Check'!G18</x:f>
        <x:v>0</x:v>
      </x:c>
      <x:c r="E12" s="119" t="n">
        <x:f>'Robustness Check'!H18</x:f>
        <x:v>0</x:v>
      </x:c>
      <x:c r="F12" s="61" t="n">
        <x:f>'Robustness Check'!I18</x:f>
        <x:v>15</x:v>
      </x:c>
      <x:c r="G12" s="104" t="n">
        <x:f>'Robustness Check'!J18</x:f>
        <x:v>0</x:v>
      </x:c>
      <x:c r="H12" s="104" t="n">
        <x:f>'Robustness Check'!K18</x:f>
        <x:v>1</x:v>
      </x:c>
    </x:row>
  </x:sheetData>
  <x:mergeCells>
    <x:mergeCell ref="A1:H1"/>
    <x:mergeCell ref="A2:H2"/>
  </x:mergeCells>
  <x:pageMargins left="0.7" right="0.7" top="0.75" bottom="0.75" header="0.3" footer="0.3"/>
  <x:drawing xmlns:r="http://schemas.openxmlformats.org/officeDocument/2006/relationships" r:id="R031691513b22431f"/>
  <x:tableParts count="1">
    <x:tablePart xmlns:r="http://schemas.openxmlformats.org/officeDocument/2006/relationships" r:id="R830671f861fc469b"/>
  </x:tableParts>
</x:worksheet>
</file>

<file path=xl/worksheets/sheet9.xml><?xml version="1.0" encoding="utf-8"?>
<x:worksheet xmlns:x="http://schemas.openxmlformats.org/spreadsheetml/2006/main">
  <x:sheetPr>
    <x:tabColor rgb="FF2F75B5"/>
  </x:sheetPr>
  <x:sheetViews>
    <x:sheetView showGridLines="0" workbookViewId="0">
      <x:pane ySplit="4" topLeftCell="A5" activePane="bottomLeft" state="frozen"/>
    </x:sheetView>
  </x:sheetViews>
  <x:sheetFormatPr defaultColWidth="8.6796875" defaultRowHeight="15"/>
  <x:cols>
    <x:col min="1" max="1" width="32" style="1" hidden="0" customWidth="1"/>
    <x:col min="2" max="2" width="20" style="1" hidden="0" customWidth="1"/>
    <x:col min="3" max="7" width="15" style="1" hidden="0" customWidth="1"/>
  </x:cols>
  <x:sheetData>
    <x:row r="1" ht="31.5" hidden="0" customHeight="1">
      <x:c r="A1" s="9" t="s">
        <x:v>56</x:v>
      </x:c>
      <x:c r="B1" s="9"/>
      <x:c r="C1" s="9"/>
      <x:c r="D1" s="9"/>
      <x:c r="E1" s="9"/>
      <x:c r="F1" s="9"/>
      <x:c r="G1" s="9"/>
    </x:row>
    <x:row r="2" ht="33.75" hidden="0" customHeight="1">
      <x:c r="A2" s="10" t="s">
        <x:v>57</x:v>
      </x:c>
      <x:c r="B2" s="10"/>
      <x:c r="C2" s="10"/>
      <x:c r="D2" s="10"/>
      <x:c r="E2" s="10"/>
      <x:c r="F2" s="10"/>
      <x:c r="G2" s="10"/>
    </x:row>
    <x:row r="4" ht="34" hidden="0" customHeight="1">
      <x:c r="A4" s="52" t="str">
        <x:v>Metric</x:v>
      </x:c>
      <x:c r="B4" s="53" t="str">
        <x:v>Cohort</x:v>
      </x:c>
      <x:c r="C4" s="53" t="str">
        <x:v>Count</x:v>
      </x:c>
      <x:c r="D4" s="53" t="str">
        <x:v>Median</x:v>
      </x:c>
      <x:c r="E4" s="53" t="str">
        <x:v>Mean</x:v>
      </x:c>
      <x:c r="F4" s="53" t="str">
        <x:v>25th percentile</x:v>
      </x:c>
      <x:c r="G4" s="54" t="str">
        <x:v>75th percentile</x:v>
      </x:c>
    </x:row>
    <x:row r="5" ht="15" hidden="0">
      <x:c r="A5" s="59" t="str">
        <x:v>capital_ratio</x:v>
      </x:c>
      <x:c r="B5" s="59" t="str">
        <x:v>2023 failed banks</x:v>
      </x:c>
      <x:c r="C5" s="59" t="n">
        <x:v>3</x:v>
      </x:c>
      <x:c r="D5" s="65" t="n">
        <x:v>0.07394295446499478</x:v>
      </x:c>
      <x:c r="E5" s="65" t="n">
        <x:v>0.07619805321709455</x:v>
      </x:c>
      <x:c r="F5" s="65" t="n">
        <x:v>0.07327464861184195</x:v>
      </x:c>
      <x:c r="G5" s="65" t="n">
        <x:v>0.07799390844629728</x:v>
      </x:c>
    </x:row>
    <x:row r="6" ht="15" hidden="0">
      <x:c r="A6" s="59" t="str">
        <x:v>capital_ratio</x:v>
      </x:c>
      <x:c r="B6" s="59" t="str">
        <x:v>Other peers</x:v>
      </x:c>
      <x:c r="C6" s="59" t="n">
        <x:v>142</x:v>
      </x:c>
      <x:c r="D6" s="65" t="n">
        <x:v>0.09941477698401954</x:v>
      </x:c>
      <x:c r="E6" s="65" t="n">
        <x:v>0.10167850353558168</x:v>
      </x:c>
      <x:c r="F6" s="65" t="n">
        <x:v>0.08410483785364256</x:v>
      </x:c>
      <x:c r="G6" s="65" t="n">
        <x:v>0.11825771884149501</x:v>
      </x:c>
    </x:row>
    <x:row r="7" ht="15" hidden="0">
      <x:c r="A7" s="59" t="str">
        <x:v>cash_ratio</x:v>
      </x:c>
      <x:c r="B7" s="59" t="str">
        <x:v>2023 failed banks</x:v>
      </x:c>
      <x:c r="C7" s="59" t="n">
        <x:v>3</x:v>
      </x:c>
      <x:c r="D7" s="65" t="n">
        <x:v>0.05494118761023217</x:v>
      </x:c>
      <x:c r="E7" s="65" t="n">
        <x:v>0.04497935396465791</x:v>
      </x:c>
      <x:c r="F7" s="65" t="n">
        <x:v>0.03754213190093518</x:v>
      </x:c>
      <x:c r="G7" s="65" t="n">
        <x:v>0.05739749285116777</x:v>
      </x:c>
    </x:row>
    <x:row r="8" ht="15" hidden="0">
      <x:c r="A8" s="59" t="str">
        <x:v>cash_ratio</x:v>
      </x:c>
      <x:c r="B8" s="59" t="str">
        <x:v>Other peers</x:v>
      </x:c>
      <x:c r="C8" s="59" t="n">
        <x:v>146</x:v>
      </x:c>
      <x:c r="D8" s="65" t="n">
        <x:v>0.035701134164794465</x:v>
      </x:c>
      <x:c r="E8" s="65" t="n">
        <x:v>0.06874325565635664</x:v>
      </x:c>
      <x:c r="F8" s="65" t="n">
        <x:v>0.021423234954506973</x:v>
      </x:c>
      <x:c r="G8" s="65" t="n">
        <x:v>0.07425572261183545</x:v>
      </x:c>
    </x:row>
    <x:row r="9" ht="15" hidden="0">
      <x:c r="A9" s="59" t="str">
        <x:v>securities_ratio</x:v>
      </x:c>
      <x:c r="B9" s="59" t="str">
        <x:v>2023 failed banks</x:v>
      </x:c>
      <x:c r="C9" s="59" t="n">
        <x:v>3</x:v>
      </x:c>
      <x:c r="D9" s="65" t="n">
        <x:v>0.23696926478962957</x:v>
      </x:c>
      <x:c r="E9" s="65" t="n">
        <x:v>0.3157655590738854</x:v>
      </x:c>
      <x:c r="F9" s="65" t="n">
        <x:v>0.19306841075496334</x:v>
      </x:c>
      <x:c r="G9" s="65" t="n">
        <x:v>0.3990645602506796</x:v>
      </x:c>
    </x:row>
    <x:row r="10" ht="15" hidden="0">
      <x:c r="A10" s="59" t="str">
        <x:v>securities_ratio</x:v>
      </x:c>
      <x:c r="B10" s="59" t="str">
        <x:v>Other peers</x:v>
      </x:c>
      <x:c r="C10" s="59" t="n">
        <x:v>146</x:v>
      </x:c>
      <x:c r="D10" s="65" t="n">
        <x:v>0.1845174278252336</x:v>
      </x:c>
      <x:c r="E10" s="65" t="n">
        <x:v>0.21647194810250023</x:v>
      </x:c>
      <x:c r="F10" s="65" t="n">
        <x:v>0.11844498238353475</x:v>
      </x:c>
      <x:c r="G10" s="65" t="n">
        <x:v>0.2618744198338855</x:v>
      </x:c>
    </x:row>
    <x:row r="11" ht="15" hidden="0">
      <x:c r="A11" s="59" t="str">
        <x:v>securities_mtm_gap_to_equity</x:v>
      </x:c>
      <x:c r="B11" s="59" t="str">
        <x:v>2023 failed banks</x:v>
      </x:c>
      <x:c r="C11" s="59" t="n">
        <x:v>3</x:v>
      </x:c>
      <x:c r="D11" s="65" t="n">
        <x:v>0.27425432881841133</x:v>
      </x:c>
      <x:c r="E11" s="65" t="n">
        <x:v>0.44992205081321446</x:v>
      </x:c>
      <x:c r="F11" s="65" t="n">
        <x:v>0.18468509485336204</x:v>
      </x:c>
      <x:c r="G11" s="65" t="n">
        <x:v>0.6273251457756653</x:v>
      </x:c>
    </x:row>
    <x:row r="12" ht="15" hidden="0">
      <x:c r="A12" s="59" t="str">
        <x:v>securities_mtm_gap_to_equity</x:v>
      </x:c>
      <x:c r="B12" s="59" t="str">
        <x:v>Other peers</x:v>
      </x:c>
      <x:c r="C12" s="59" t="n">
        <x:v>142</x:v>
      </x:c>
      <x:c r="D12" s="65" t="n">
        <x:v>0.040511630928622006</x:v>
      </x:c>
      <x:c r="E12" s="65" t="n">
        <x:v>0.10480517861457796</x:v>
      </x:c>
      <x:c r="F12" s="65" t="n">
        <x:v>0.0033958150324752694</x:v>
      </x:c>
      <x:c r="G12" s="65" t="n">
        <x:v>0.09687079261675854</x:v>
      </x:c>
    </x:row>
    <x:row r="13" ht="15" hidden="0">
      <x:c r="A13" s="59" t="str">
        <x:v>uninsured_deposit_ratio</x:v>
      </x:c>
      <x:c r="B13" s="59" t="str">
        <x:v>2023 failed banks</x:v>
      </x:c>
      <x:c r="C13" s="59" t="n">
        <x:v>3</x:v>
      </x:c>
      <x:c r="D13" s="65" t="n">
        <x:v>0.8643729544184562</x:v>
      </x:c>
      <x:c r="E13" s="65" t="n">
        <x:v>0.8127337528434021</x:v>
      </x:c>
      <x:c r="F13" s="65" t="n">
        <x:v>0.7707519625567045</x:v>
      </x:c>
      <x:c r="G13" s="65" t="n">
        <x:v>0.8805351439176268</x:v>
      </x:c>
    </x:row>
    <x:row r="14" ht="15" hidden="0">
      <x:c r="A14" s="59" t="str">
        <x:v>uninsured_deposit_ratio</x:v>
      </x:c>
      <x:c r="B14" s="59" t="str">
        <x:v>Other peers</x:v>
      </x:c>
      <x:c r="C14" s="59" t="n">
        <x:v>146</x:v>
      </x:c>
      <x:c r="D14" s="65" t="n">
        <x:v>0.41104905515961965</x:v>
      </x:c>
      <x:c r="E14" s="65" t="n">
        <x:v>0.3894496896632281</x:v>
      </x:c>
      <x:c r="F14" s="65" t="n">
        <x:v>0.3088715571907798</x:v>
      </x:c>
      <x:c r="G14" s="65" t="n">
        <x:v>0.5153170272088088</x:v>
      </x:c>
    </x:row>
    <x:row r="15" ht="15" hidden="0">
      <x:c r="A15" s="59" t="str">
        <x:v>noncurrent_loan_ratio</x:v>
      </x:c>
      <x:c r="B15" s="59" t="str">
        <x:v>2023 failed banks</x:v>
      </x:c>
      <x:c r="C15" s="59" t="n">
        <x:v>3</x:v>
      </x:c>
      <x:c r="D15" s="65" t="n">
        <x:v>0.0018720790852402053</x:v>
      </x:c>
      <x:c r="E15" s="65" t="n">
        <x:v>0.0019036167302705163</x:v>
      </x:c>
      <x:c r="F15" s="65" t="n">
        <x:v>0.0012619512101547244</x:v>
      </x:c>
      <x:c r="G15" s="65" t="n">
        <x:v>0.0025295134278711523</x:v>
      </x:c>
    </x:row>
    <x:row r="16" ht="15" hidden="0">
      <x:c r="A16" s="59" t="str">
        <x:v>noncurrent_loan_ratio</x:v>
      </x:c>
      <x:c r="B16" s="59" t="str">
        <x:v>Other peers</x:v>
      </x:c>
      <x:c r="C16" s="59" t="n">
        <x:v>145</x:v>
      </x:c>
      <x:c r="D16" s="65" t="n">
        <x:v>0.0038259296167220984</x:v>
      </x:c>
      <x:c r="E16" s="65" t="n">
        <x:v>0.007136926360174317</x:v>
      </x:c>
      <x:c r="F16" s="65" t="n">
        <x:v>0.002143635225241603</x:v>
      </x:c>
      <x:c r="G16" s="65" t="n">
        <x:v>0.006410317437097973</x:v>
      </x:c>
    </x:row>
    <x:row r="17" ht="15" hidden="0">
      <x:c r="A17" s="59" t="str">
        <x:v>early_delinquency_ratio</x:v>
      </x:c>
      <x:c r="B17" s="59" t="str">
        <x:v>2023 failed banks</x:v>
      </x:c>
      <x:c r="C17" s="59" t="n">
        <x:v>3</x:v>
      </x:c>
      <x:c r="D17" s="65" t="n">
        <x:v>0.0012872258797226534</x:v>
      </x:c>
      <x:c r="E17" s="65" t="n">
        <x:v>0.0009582441604841633</x:v>
      </x:c>
      <x:c r="F17" s="65" t="n">
        <x:v>0.0007168178158316336</x:v>
      </x:c>
      <x:c r="G17" s="65" t="n">
        <x:v>0.0013641613647559381</x:v>
      </x:c>
    </x:row>
    <x:row r="18" ht="15" hidden="0">
      <x:c r="A18" s="59" t="str">
        <x:v>early_delinquency_ratio</x:v>
      </x:c>
      <x:c r="B18" s="59" t="str">
        <x:v>Other peers</x:v>
      </x:c>
      <x:c r="C18" s="59" t="n">
        <x:v>145</x:v>
      </x:c>
      <x:c r="D18" s="65" t="n">
        <x:v>0.0022233935457357684</x:v>
      </x:c>
      <x:c r="E18" s="65" t="n">
        <x:v>0.004256908171198554</x:v>
      </x:c>
      <x:c r="F18" s="65" t="n">
        <x:v>0.0011540673841652035</x:v>
      </x:c>
      <x:c r="G18" s="65" t="n">
        <x:v>0.004763018468757335</x:v>
      </x:c>
    </x:row>
    <x:row r="19" ht="15" hidden="0">
      <x:c r="A19" s="59" t="str">
        <x:v>integrated_score</x:v>
      </x:c>
      <x:c r="B19" s="59" t="str">
        <x:v>2023 failed banks</x:v>
      </x:c>
      <x:c r="C19" s="59" t="n">
        <x:v>3</x:v>
      </x:c>
      <x:c r="D19" s="63" t="n">
        <x:v>78.26600796580571</x:v>
      </x:c>
      <x:c r="E19" s="63" t="n">
        <x:v>78.67107404189424</x:v>
      </x:c>
      <x:c r="F19" s="63" t="n">
        <x:v>77.24437392550556</x:v>
      </x:c>
      <x:c r="G19" s="63" t="n">
        <x:v>79.89524112023867</x:v>
      </x:c>
    </x:row>
    <x:row r="20" ht="15" hidden="0">
      <x:c r="A20" s="61" t="str">
        <x:v>integrated_score</x:v>
      </x:c>
      <x:c r="B20" s="61" t="str">
        <x:v>Other peers</x:v>
      </x:c>
      <x:c r="C20" s="61" t="n">
        <x:v>141</x:v>
      </x:c>
      <x:c r="D20" s="64" t="n">
        <x:v>56.14124808112413</x:v>
      </x:c>
      <x:c r="E20" s="64" t="n">
        <x:v>54.35606329070697</x:v>
      </x:c>
      <x:c r="F20" s="64" t="n">
        <x:v>44.03454290914378</x:v>
      </x:c>
      <x:c r="G20" s="64" t="n">
        <x:v>66.49336588700547</x:v>
      </x:c>
    </x:row>
  </x:sheetData>
  <x:mergeCells>
    <x:mergeCell ref="A1:G1"/>
    <x:mergeCell ref="A2:G2"/>
  </x:mergeCells>
  <x:pageMargins left="0.7" right="0.7" top="0.75" bottom="0.75" header="0.3" footer="0.3"/>
  <x:tableParts count="1">
    <x:tablePart xmlns:r="http://schemas.openxmlformats.org/officeDocument/2006/relationships" r:id="R40fec28c294544be"/>
  </x:tableParts>
</x:worksheet>
</file>

<file path=xl/worksheets/sheet10.xml><?xml version="1.0" encoding="utf-8"?>
<x:worksheet xmlns:x="http://schemas.openxmlformats.org/spreadsheetml/2006/main">
  <x:sheetPr>
    <x:tabColor rgb="FF2F75B5"/>
  </x:sheetPr>
  <x:sheetViews>
    <x:sheetView showGridLines="0" workbookViewId="0">
      <x:pane xSplit="2" ySplit="4" topLeftCell="C5" activePane="bottomRight" state="frozen"/>
    </x:sheetView>
  </x:sheetViews>
  <x:sheetFormatPr defaultColWidth="8.6796875" defaultRowHeight="15"/>
  <x:cols>
    <x:col min="1" max="1" width="27" style="1" hidden="0" customWidth="1"/>
    <x:col min="2" max="2" width="24" style="1" hidden="0" customWidth="1"/>
    <x:col min="3" max="3" width="12" style="1" hidden="0" customWidth="1"/>
    <x:col min="4" max="13" width="14" style="1" hidden="0" customWidth="1"/>
    <x:col min="14" max="17" width="12" style="1" hidden="0" customWidth="1"/>
    <x:col min="18" max="20" width="14" style="1" hidden="0" customWidth="1"/>
  </x:cols>
  <x:sheetData>
    <x:row r="1" ht="31.5" hidden="0" customHeight="1">
      <x:c r="A1" s="9" t="str">
        <x:v>2022Q4 Peer Metrics</x:v>
      </x:c>
      <x:c r="B1" s="9" t="str">
        <x:v>2022Q4 Peer Metrics</x:v>
      </x:c>
      <x:c r="C1" s="9" t="str">
        <x:v>2022Q4 Peer Metrics</x:v>
      </x:c>
      <x:c r="D1" s="9" t="str">
        <x:v>2022Q4 Peer Metrics</x:v>
      </x:c>
      <x:c r="E1" s="9" t="str">
        <x:v>2022Q4 Peer Metrics</x:v>
      </x:c>
      <x:c r="F1" s="9" t="str">
        <x:v>2022Q4 Peer Metrics</x:v>
      </x:c>
      <x:c r="G1" s="9" t="str">
        <x:v>2022Q4 Peer Metrics</x:v>
      </x:c>
      <x:c r="H1" s="9" t="str">
        <x:v>2022Q4 Peer Metrics</x:v>
      </x:c>
      <x:c r="I1" s="9" t="str">
        <x:v>2022Q4 Peer Metrics</x:v>
      </x:c>
      <x:c r="J1" s="9" t="str">
        <x:v>2022Q4 Peer Metrics</x:v>
      </x:c>
      <x:c r="K1" s="9" t="str">
        <x:v>2022Q4 Peer Metrics</x:v>
      </x:c>
      <x:c r="L1" s="9" t="str">
        <x:v>2022Q4 Peer Metrics</x:v>
      </x:c>
      <x:c r="M1" s="9" t="str">
        <x:v>2022Q4 Peer Metrics</x:v>
      </x:c>
      <x:c r="N1" s="9" t="str">
        <x:v>2022Q4 Peer Metrics</x:v>
      </x:c>
      <x:c r="O1" s="9" t="str">
        <x:v>2022Q4 Peer Metrics</x:v>
      </x:c>
      <x:c r="P1" s="9" t="str">
        <x:v>2022Q4 Peer Metrics</x:v>
      </x:c>
      <x:c r="Q1" s="9" t="str">
        <x:v>2022Q4 Peer Metrics</x:v>
      </x:c>
      <x:c r="R1" s="9" t="str">
        <x:v>2022Q4 Peer Metrics</x:v>
      </x:c>
      <x:c r="S1" s="9" t="str">
        <x:v>2022Q4 Peer Metrics</x:v>
      </x:c>
      <x:c r="T1" s="9" t="str">
        <x:v>2022Q4 Peer Metrics</x:v>
      </x:c>
    </x:row>
    <x:row r="2" ht="33.75" hidden="0" customHeight="1">
      <x:c r="A2" s="10" t="str">
        <x:v>Corrected $10bn-$250bn sample. Scores were recomputed after local filtering. Nonfailed institutions are anonymized for filing.</x:v>
      </x:c>
      <x:c r="B2" s="10" t="str">
        <x:v>Corrected $10bn-$250bn sample. Scores were recomputed after local filtering. Nonfailed institutions are anonymized for filing.</x:v>
      </x:c>
      <x:c r="C2" s="10" t="str">
        <x:v>Corrected $10bn-$250bn sample. Scores were recomputed after local filtering. Nonfailed institutions are anonymized for filing.</x:v>
      </x:c>
      <x:c r="D2" s="10" t="str">
        <x:v>Corrected $10bn-$250bn sample. Scores were recomputed after local filtering. Nonfailed institutions are anonymized for filing.</x:v>
      </x:c>
      <x:c r="E2" s="10" t="str">
        <x:v>Corrected $10bn-$250bn sample. Scores were recomputed after local filtering. Nonfailed institutions are anonymized for filing.</x:v>
      </x:c>
      <x:c r="F2" s="10" t="str">
        <x:v>Corrected $10bn-$250bn sample. Scores were recomputed after local filtering. Nonfailed institutions are anonymized for filing.</x:v>
      </x:c>
      <x:c r="G2" s="10" t="str">
        <x:v>Corrected $10bn-$250bn sample. Scores were recomputed after local filtering. Nonfailed institutions are anonymized for filing.</x:v>
      </x:c>
      <x:c r="H2" s="10" t="str">
        <x:v>Corrected $10bn-$250bn sample. Scores were recomputed after local filtering. Nonfailed institutions are anonymized for filing.</x:v>
      </x:c>
      <x:c r="I2" s="10" t="str">
        <x:v>Corrected $10bn-$250bn sample. Scores were recomputed after local filtering. Nonfailed institutions are anonymized for filing.</x:v>
      </x:c>
      <x:c r="J2" s="10" t="str">
        <x:v>Corrected $10bn-$250bn sample. Scores were recomputed after local filtering. Nonfailed institutions are anonymized for filing.</x:v>
      </x:c>
      <x:c r="K2" s="10" t="str">
        <x:v>Corrected $10bn-$250bn sample. Scores were recomputed after local filtering. Nonfailed institutions are anonymized for filing.</x:v>
      </x:c>
      <x:c r="L2" s="10" t="str">
        <x:v>Corrected $10bn-$250bn sample. Scores were recomputed after local filtering. Nonfailed institutions are anonymized for filing.</x:v>
      </x:c>
      <x:c r="M2" s="10" t="str">
        <x:v>Corrected $10bn-$250bn sample. Scores were recomputed after local filtering. Nonfailed institutions are anonymized for filing.</x:v>
      </x:c>
      <x:c r="N2" s="10" t="str">
        <x:v>Corrected $10bn-$250bn sample. Scores were recomputed after local filtering. Nonfailed institutions are anonymized for filing.</x:v>
      </x:c>
      <x:c r="O2" s="10" t="str">
        <x:v>Corrected $10bn-$250bn sample. Scores were recomputed after local filtering. Nonfailed institutions are anonymized for filing.</x:v>
      </x:c>
      <x:c r="P2" s="10" t="str">
        <x:v>Corrected $10bn-$250bn sample. Scores were recomputed after local filtering. Nonfailed institutions are anonymized for filing.</x:v>
      </x:c>
      <x:c r="Q2" s="10" t="str">
        <x:v>Corrected $10bn-$250bn sample. Scores were recomputed after local filtering. Nonfailed institutions are anonymized for filing.</x:v>
      </x:c>
      <x:c r="R2" s="10" t="str">
        <x:v>Corrected $10bn-$250bn sample. Scores were recomputed after local filtering. Nonfailed institutions are anonymized for filing.</x:v>
      </x:c>
      <x:c r="S2" s="10" t="str">
        <x:v>Corrected $10bn-$250bn sample. Scores were recomputed after local filtering. Nonfailed institutions are anonymized for filing.</x:v>
      </x:c>
      <x:c r="T2" s="10" t="str">
        <x:v>Corrected $10bn-$250bn sample. Scores were recomputed after local filtering. Nonfailed institutions are anonymized for filing.</x:v>
      </x:c>
    </x:row>
    <x:row r="4" ht="34" hidden="0" customHeight="1">
      <x:c r="A4" s="52" t="str">
        <x:v>Institution</x:v>
      </x:c>
      <x:c r="B4" s="53" t="str">
        <x:v>2023 outcome group</x:v>
      </x:c>
      <x:c r="C4" s="53" t="str">
        <x:v>Assets ($bn)</x:v>
      </x:c>
      <x:c r="D4" s="53" t="str">
        <x:v>Capital / assets</x:v>
      </x:c>
      <x:c r="E4" s="53" t="str">
        <x:v>Cash / assets</x:v>
      </x:c>
      <x:c r="F4" s="53" t="str">
        <x:v>Securities / assets</x:v>
      </x:c>
      <x:c r="G4" s="53" t="str">
        <x:v>Securities MTM gap / equity</x:v>
      </x:c>
      <x:c r="H4" s="53" t="str">
        <x:v>Uninsured deposits / deposits</x:v>
      </x:c>
      <x:c r="I4" s="53" t="str">
        <x:v>Noncurrent loans / loans</x:v>
      </x:c>
      <x:c r="J4" s="53" t="str">
        <x:v>Rate score</x:v>
      </x:c>
      <x:c r="K4" s="53" t="str">
        <x:v>Funding score</x:v>
      </x:c>
      <x:c r="L4" s="53" t="str">
        <x:v>Credit score</x:v>
      </x:c>
      <x:c r="M4" s="53" t="str">
        <x:v>Rate-funding interaction</x:v>
      </x:c>
      <x:c r="N4" s="53" t="str">
        <x:v>Baseline score</x:v>
      </x:c>
      <x:c r="O4" s="53" t="str">
        <x:v>Baseline rank</x:v>
      </x:c>
      <x:c r="P4" s="53" t="str">
        <x:v>Trigger score</x:v>
      </x:c>
      <x:c r="Q4" s="53" t="str">
        <x:v>Trigger rank</x:v>
      </x:c>
      <x:c r="R4" s="53" t="str">
        <x:v>Failed in 2023</x:v>
      </x:c>
      <x:c r="S4" s="53" t="str">
        <x:v>Failure date</x:v>
      </x:c>
      <x:c r="T4" s="54" t="str">
        <x:v>Other-peer trigger score (summary helper)</x:v>
      </x:c>
    </x:row>
    <x:row r="5" ht="15" hidden="0">
      <x:c r="A5" s="59" t="str">
        <x:v>Peer 009</x:v>
      </x:c>
      <x:c r="B5" s="59" t="str">
        <x:v>Other peer</x:v>
      </x:c>
      <x:c r="C5" s="63" t="n">
        <x:v>12.054744</x:v>
      </x:c>
      <x:c r="D5" s="65" t="n">
        <x:v>0.10892657695592706</x:v>
      </x:c>
      <x:c r="E5" s="65" t="n">
        <x:v>0.011850770120045685</x:v>
      </x:c>
      <x:c r="F5" s="65" t="n">
        <x:v>0.40759397296201394</x:v>
      </x:c>
      <x:c r="G5" s="65" t="n">
        <x:v>0.40063072984017756</x:v>
      </x:c>
      <x:c r="H5" s="65" t="n">
        <x:v>0.5308878450698803</x:v>
      </x:c>
      <x:c r="I5" s="65" t="n">
        <x:v>0.00047563591677749037</x:v>
      </x:c>
      <x:c r="J5" s="65" t="n">
        <x:v>0.9423975931497339</x:v>
      </x:c>
      <x:c r="K5" s="65" t="n">
        <x:v>0.8791946308724832</x:v>
      </x:c>
      <x:c r="L5" s="65" t="n">
        <x:v>0.14527027027027029</x:v>
      </x:c>
      <x:c r="M5" s="65" t="n">
        <x:v>0.9102477157589559</x:v>
      </x:c>
      <x:c r="N5" s="63" t="n">
        <x:v>74.27363995938077</x:v>
      </x:c>
      <x:c r="O5" s="59" t="n">
        <x:v>3</x:v>
      </x:c>
      <x:c r="P5" s="63" t="n">
        <x:v>85.70230774938166</x:v>
      </x:c>
      <x:c r="Q5" s="59" t="n">
        <x:v>1</x:v>
      </x:c>
      <x:c r="R5" s="60" t="b">
        <x:v>0</x:v>
      </x:c>
      <x:c r="S5" s="59"/>
      <x:c r="T5" s="63" t="n">
        <x:v>85.70230774938166</x:v>
      </x:c>
    </x:row>
    <x:row r="6" ht="15" hidden="0">
      <x:c r="A6" s="59" t="str">
        <x:v>Peer 072</x:v>
      </x:c>
      <x:c r="B6" s="59" t="str">
        <x:v>Other peer</x:v>
      </x:c>
      <x:c r="C6" s="63" t="n">
        <x:v>16.474239</x:v>
      </x:c>
      <x:c r="D6" s="65" t="n">
        <x:v>0.11719515541810459</x:v>
      </x:c>
      <x:c r="E6" s="65" t="n">
        <x:v>0.012914708837233696</x:v>
      </x:c>
      <x:c r="F6" s="65" t="n">
        <x:v>0.35347259439419326</x:v>
      </x:c>
      <x:c r="G6" s="65" t="n">
        <x:v>0.21415744851222432</x:v>
      </x:c>
      <x:c r="H6" s="65" t="n">
        <x:v>0.6531345036797658</x:v>
      </x:c>
      <x:c r="I6" s="65" t="n">
        <x:v>0.0005429879005113999</x:v>
      </x:c>
      <x:c r="J6" s="65" t="n">
        <x:v>0.8947697292293451</x:v>
      </x:c>
      <x:c r="K6" s="65" t="n">
        <x:v>0.936241610738255</x:v>
      </x:c>
      <x:c r="L6" s="65" t="n">
        <x:v>0.060810810810810814</x:v>
      </x:c>
      <x:c r="M6" s="65" t="n">
        <x:v>0.915270808304031</x:v>
      </x:c>
      <x:c r="N6" s="63" t="n">
        <x:v>72.33018517540579</x:v>
      </x:c>
      <x:c r="O6" s="59" t="n">
        <x:v>6</x:v>
      </x:c>
      <x:c r="P6" s="63" t="n">
        <x:v>84.60160167118767</x:v>
      </x:c>
      <x:c r="Q6" s="59" t="n">
        <x:v>2</x:v>
      </x:c>
      <x:c r="R6" s="60" t="b">
        <x:v>0</x:v>
      </x:c>
      <x:c r="S6" s="59"/>
      <x:c r="T6" s="63" t="n">
        <x:v>84.60160167118767</x:v>
      </x:c>
    </x:row>
    <x:row r="7" ht="15" hidden="0">
      <x:c r="A7" s="59" t="str">
        <x:v>Peer 063</x:v>
      </x:c>
      <x:c r="B7" s="59" t="str">
        <x:v>Other peer</x:v>
      </x:c>
      <x:c r="C7" s="63" t="n">
        <x:v>23.579258</x:v>
      </x:c>
      <x:c r="D7" s="65" t="n">
        <x:v>0.054273802848249085</x:v>
      </x:c>
      <x:c r="E7" s="65" t="n">
        <x:v>0.01703900097280415</x:v>
      </x:c>
      <x:c r="F7" s="65" t="n">
        <x:v>0.35015783787598403</x:v>
      </x:c>
      <x:c r="G7" s="65" t="n">
        <x:v>0.6239599417379834</x:v>
      </x:c>
      <x:c r="H7" s="65" t="n">
        <x:v>0.45875095826995144</x:v>
      </x:c>
      <x:c r="I7" s="65" t="n">
        <x:v>0.0012442612926732493</x:v>
      </x:c>
      <x:c r="J7" s="65" t="n">
        <x:v>0.9224485072899791</x:v>
      </x:c>
      <x:c r="K7" s="65" t="n">
        <x:v>0.7114093959731544</x:v>
      </x:c>
      <x:c r="L7" s="65" t="n">
        <x:v>0.3108108108108108</x:v>
      </x:c>
      <x:c r="M7" s="65" t="n">
        <x:v>0.8100855111576197</x:v>
      </x:c>
      <x:c r="N7" s="63" t="n">
        <x:v>75.34642330673081</x:v>
      </x:c>
      <x:c r="O7" s="59" t="n">
        <x:v>1</x:v>
      </x:c>
      <x:c r="P7" s="63" t="n">
        <x:v>83.30876126864362</x:v>
      </x:c>
      <x:c r="Q7" s="59" t="n">
        <x:v>3</x:v>
      </x:c>
      <x:c r="R7" s="60" t="b">
        <x:v>0</x:v>
      </x:c>
      <x:c r="S7" s="59"/>
      <x:c r="T7" s="63" t="n">
        <x:v>83.30876126864362</x:v>
      </x:c>
    </x:row>
    <x:row r="8" ht="15" hidden="0">
      <x:c r="A8" s="59" t="str">
        <x:v>Peer 070</x:v>
      </x:c>
      <x:c r="B8" s="59" t="str">
        <x:v>Other peer</x:v>
      </x:c>
      <x:c r="C8" s="63" t="n">
        <x:v>25.260713</x:v>
      </x:c>
      <x:c r="D8" s="65" t="n">
        <x:v>0.08068624191249076</x:v>
      </x:c>
      <x:c r="E8" s="65" t="n">
        <x:v>0.01722488989127108</x:v>
      </x:c>
      <x:c r="F8" s="65" t="n">
        <x:v>0.2661264549421071</x:v>
      </x:c>
      <x:c r="G8" s="65" t="n">
        <x:v>0.19946648794617974</x:v>
      </x:c>
      <x:c r="H8" s="65" t="n">
        <x:v>0.6097119930170909</x:v>
      </x:c>
      <x:c r="I8" s="65" t="n">
        <x:v>0.0027700202184042884</x:v>
      </x:c>
      <x:c r="J8" s="65" t="n">
        <x:v>0.8308261976394353</x:v>
      </x:c>
      <x:c r="K8" s="65" t="n">
        <x:v>0.8523489932885906</x:v>
      </x:c>
      <x:c r="L8" s="65" t="n">
        <x:v>0.27364864864864863</x:v>
      </x:c>
      <x:c r="M8" s="65" t="n">
        <x:v>0.8415187895440959</x:v>
      </x:c>
      <x:c r="N8" s="63" t="n">
        <x:v>74.94690523176641</x:v>
      </x:c>
      <x:c r="O8" s="59" t="n">
        <x:v>2</x:v>
      </x:c>
      <x:c r="P8" s="63" t="n">
        <x:v>82.81167156826076</x:v>
      </x:c>
      <x:c r="Q8" s="59" t="n">
        <x:v>4</x:v>
      </x:c>
      <x:c r="R8" s="60" t="b">
        <x:v>0</x:v>
      </x:c>
      <x:c r="S8" s="59"/>
      <x:c r="T8" s="63" t="n">
        <x:v>82.81167156826076</x:v>
      </x:c>
    </x:row>
    <x:row r="9" ht="15" hidden="0">
      <x:c r="A9" s="59" t="str">
        <x:v>SILICON VALLEY BANK</x:v>
      </x:c>
      <x:c r="B9" s="59" t="str">
        <x:v>Failed in 2023</x:v>
      </x:c>
      <x:c r="C9" s="63" t="n">
        <x:v>209.026</x:v>
      </x:c>
      <x:c r="D9" s="65" t="n">
        <x:v>0.07394295446499478</x:v>
      </x:c>
      <x:c r="E9" s="65" t="n">
        <x:v>0.05985379809210337</x:v>
      </x:c>
      <x:c r="F9" s="65" t="n">
        <x:v>0.5611598557117297</x:v>
      </x:c>
      <x:c r="G9" s="65" t="n">
        <x:v>0.9803959627329193</x:v>
      </x:c>
      <x:c r="H9" s="65" t="n">
        <x:v>0.8643729544184562</x:v>
      </x:c>
      <x:c r="I9" s="65" t="n">
        <x:v>0.0018720790852402053</x:v>
      </x:c>
      <x:c r="J9" s="65" t="n">
        <x:v>0.9728766489238603</x:v>
      </x:c>
      <x:c r="K9" s="65" t="n">
        <x:v>0.6375838926174497</x:v>
      </x:c>
      <x:c r="L9" s="65" t="n">
        <x:v>0.28716216216216217</x:v>
      </x:c>
      <x:c r="M9" s="65" t="n">
        <x:v>0.7875852213300443</x:v>
      </x:c>
      <x:c r="N9" s="63" t="n">
        <x:v>72.84882010207068</x:v>
      </x:c>
      <x:c r="O9" s="59" t="n">
        <x:v>4</x:v>
      </x:c>
      <x:c r="P9" s="63" t="n">
        <x:v>81.5244742746716</x:v>
      </x:c>
      <x:c r="Q9" s="59" t="n">
        <x:v>5</x:v>
      </x:c>
      <x:c r="R9" s="60" t="b">
        <x:v>1</x:v>
      </x:c>
      <x:c r="S9" s="59" t="str">
        <x:v>3/10/2023</x:v>
      </x:c>
      <x:c r="T9" s="63"/>
    </x:row>
    <x:row r="10" ht="15" hidden="0">
      <x:c r="A10" s="59" t="str">
        <x:v>Peer 038</x:v>
      </x:c>
      <x:c r="B10" s="59" t="str">
        <x:v>Other peer</x:v>
      </x:c>
      <x:c r="C10" s="63" t="n">
        <x:v>38.279055</x:v>
      </x:c>
      <x:c r="D10" s="65" t="n">
        <x:v>0.07016325246273712</x:v>
      </x:c>
      <x:c r="E10" s="65" t="n">
        <x:v>0.0435583375817402</x:v>
      </x:c>
      <x:c r="F10" s="65" t="n">
        <x:v>0.33636616682412873</x:v>
      </x:c>
      <x:c r="G10" s="65" t="n">
        <x:v>0.21923252921028988</x:v>
      </x:c>
      <x:c r="H10" s="65" t="n">
        <x:v>0.751083328203311</x:v>
      </x:c>
      <x:c r="I10" s="65" t="n">
        <x:v>0.0009930030983921728</x:v>
      </x:c>
      <x:c r="J10" s="65" t="n">
        <x:v>0.8881508909974543</x:v>
      </x:c>
      <x:c r="K10" s="65" t="n">
        <x:v>0.697986577181208</x:v>
      </x:c>
      <x:c r="L10" s="65" t="n">
        <x:v>0.11148648648648649</x:v>
      </x:c>
      <x:c r="M10" s="65" t="n">
        <x:v>0.7873483348732969</x:v>
      </x:c>
      <x:c r="N10" s="63" t="n">
        <x:v>69.96319808989455</x:v>
      </x:c>
      <x:c r="O10" s="59" t="n">
        <x:v>13</x:v>
      </x:c>
      <x:c r="P10" s="63" t="n">
        <x:v>80.71923365894258</x:v>
      </x:c>
      <x:c r="Q10" s="59" t="n">
        <x:v>6</x:v>
      </x:c>
      <x:c r="R10" s="60" t="b">
        <x:v>0</x:v>
      </x:c>
      <x:c r="S10" s="59"/>
      <x:c r="T10" s="63" t="n">
        <x:v>80.71923365894258</x:v>
      </x:c>
    </x:row>
    <x:row r="11" ht="15" hidden="0">
      <x:c r="A11" s="59" t="str">
        <x:v>Peer 062</x:v>
      </x:c>
      <x:c r="B11" s="59" t="str">
        <x:v>Other peer</x:v>
      </x:c>
      <x:c r="C11" s="63" t="n">
        <x:v>24.576937</x:v>
      </x:c>
      <x:c r="D11" s="65" t="n">
        <x:v>0.09162415153686564</x:v>
      </x:c>
      <x:c r="E11" s="65" t="n">
        <x:v>0.02142756845574369</x:v>
      </x:c>
      <x:c r="F11" s="65" t="n">
        <x:v>0.30423433156051954</x:v>
      </x:c>
      <x:c r="G11" s="65" t="n">
        <x:v>0.2270111433267269</x:v>
      </x:c>
      <x:c r="H11" s="65" t="n">
        <x:v>0.5101371890509504</x:v>
      </x:c>
      <x:c r="I11" s="65" t="n">
        <x:v>0.0011126871024520842</x:v>
      </x:c>
      <x:c r="J11" s="65" t="n">
        <x:v>0.8647535292756305</x:v>
      </x:c>
      <x:c r="K11" s="65" t="n">
        <x:v>0.738255033557047</x:v>
      </x:c>
      <x:c r="L11" s="65" t="n">
        <x:v>0.41554054054054057</x:v>
      </x:c>
      <x:c r="M11" s="65" t="n">
        <x:v>0.7990047845751335</x:v>
      </x:c>
      <x:c r="N11" s="63" t="n">
        <x:v>72.79119538240508</x:v>
      </x:c>
      <x:c r="O11" s="59" t="n">
        <x:v>5</x:v>
      </x:c>
      <x:c r="P11" s="63" t="n">
        <x:v>80.45099441364532</x:v>
      </x:c>
      <x:c r="Q11" s="59" t="n">
        <x:v>7</x:v>
      </x:c>
      <x:c r="R11" s="60" t="b">
        <x:v>0</x:v>
      </x:c>
      <x:c r="S11" s="59"/>
      <x:c r="T11" s="63" t="n">
        <x:v>80.45099441364532</x:v>
      </x:c>
    </x:row>
    <x:row r="12" ht="15" hidden="0">
      <x:c r="A12" s="59" t="str">
        <x:v>Peer 010</x:v>
      </x:c>
      <x:c r="B12" s="59" t="str">
        <x:v>Other peer</x:v>
      </x:c>
      <x:c r="C12" s="63" t="n">
        <x:v>10.412724</x:v>
      </x:c>
      <x:c r="D12" s="65" t="n">
        <x:v>0.08035985588401268</x:v>
      </x:c>
      <x:c r="E12" s="65" t="n">
        <x:v>0.03782593296432327</x:v>
      </x:c>
      <x:c r="F12" s="65" t="n">
        <x:v>0.36092611309010014</x:v>
      </x:c>
      <x:c r="G12" s="65" t="n">
        <x:v>0.5003268540151655</x:v>
      </x:c>
      <x:c r="H12" s="65" t="n">
        <x:v>0.5821039387721937</x:v>
      </x:c>
      <x:c r="I12" s="65" t="n">
        <x:v>0.0005344025134957736</x:v>
      </x:c>
      <x:c r="J12" s="65" t="n">
        <x:v>0.92906734552187</x:v>
      </x:c>
      <x:c r="K12" s="65" t="n">
        <x:v>0.6812080536912751</x:v>
      </x:c>
      <x:c r="L12" s="65" t="n">
        <x:v>0.13175675675675677</x:v>
      </x:c>
      <x:c r="M12" s="65" t="n">
        <x:v>0.795542681564649</x:v>
      </x:c>
      <x:c r="N12" s="63" t="n">
        <x:v>70.0108569994913</x:v>
      </x:c>
      <x:c r="O12" s="59" t="n">
        <x:v>11</x:v>
      </x:c>
      <x:c r="P12" s="63" t="n">
        <x:v>80.39791790570393</x:v>
      </x:c>
      <x:c r="Q12" s="59" t="n">
        <x:v>8</x:v>
      </x:c>
      <x:c r="R12" s="60" t="b">
        <x:v>0</x:v>
      </x:c>
      <x:c r="S12" s="59"/>
      <x:c r="T12" s="63" t="n">
        <x:v>80.39791790570393</x:v>
      </x:c>
    </x:row>
    <x:row r="13" ht="15" hidden="0">
      <x:c r="A13" s="59" t="str">
        <x:v>Peer 056</x:v>
      </x:c>
      <x:c r="B13" s="59" t="str">
        <x:v>Other peer</x:v>
      </x:c>
      <x:c r="C13" s="63" t="n">
        <x:v>37.69597</x:v>
      </x:c>
      <x:c r="D13" s="65" t="n">
        <x:v>0.1772909411801845</x:v>
      </x:c>
      <x:c r="E13" s="65" t="n">
        <x:v>0.011266456334722253</x:v>
      </x:c>
      <x:c r="F13" s="65" t="n">
        <x:v>0.38401996287666823</x:v>
      </x:c>
      <x:c r="G13" s="65" t="n">
        <x:v>0.24425278842893638</x:v>
      </x:c>
      <x:c r="H13" s="65" t="n">
        <x:v>0.43424003655737825</x:v>
      </x:c>
      <x:c r="I13" s="65" t="n">
        <x:v>0.0013551610638462869</x:v>
      </x:c>
      <x:c r="J13" s="65" t="n">
        <x:v>0.9185373756074983</x:v>
      </x:c>
      <x:c r="K13" s="65" t="n">
        <x:v>0.7718120805369127</x:v>
      </x:c>
      <x:c r="L13" s="65" t="n">
        <x:v>0.36486486486486486</x:v>
      </x:c>
      <x:c r="M13" s="65" t="n">
        <x:v>0.8419847046820619</x:v>
      </x:c>
      <x:c r="N13" s="63" t="n">
        <x:v>68.95115826201899</x:v>
      </x:c>
      <x:c r="O13" s="59" t="n">
        <x:v>14</x:v>
      </x:c>
      <x:c r="P13" s="63" t="n">
        <x:v>79.73738106550086</x:v>
      </x:c>
      <x:c r="Q13" s="59" t="n">
        <x:v>9</x:v>
      </x:c>
      <x:c r="R13" s="60" t="b">
        <x:v>0</x:v>
      </x:c>
      <x:c r="S13" s="59"/>
      <x:c r="T13" s="63" t="n">
        <x:v>79.73738106550086</x:v>
      </x:c>
    </x:row>
    <x:row r="14" ht="15" hidden="0">
      <x:c r="A14" s="59" t="str">
        <x:v>FIRST REPUBLIC BANK</x:v>
      </x:c>
      <x:c r="B14" s="59" t="str">
        <x:v>Failed in 2023</x:v>
      </x:c>
      <x:c r="C14" s="63" t="n">
        <x:v>212.638872</x:v>
      </x:c>
      <x:c r="D14" s="65" t="n">
        <x:v>0.08204486242759979</x:v>
      </x:c>
      <x:c r="E14" s="65" t="n">
        <x:v>0.020143076191638187</x:v>
      </x:c>
      <x:c r="F14" s="65" t="n">
        <x:v>0.14916755672029713</x:v>
      </x:c>
      <x:c r="G14" s="65" t="n">
        <x:v>0.27425432881841133</x:v>
      </x:c>
      <x:c r="H14" s="65" t="n">
        <x:v>0.6771309706949528</x:v>
      </x:c>
      <x:c r="I14" s="65" t="n">
        <x:v>0.0006518233350692437</x:v>
      </x:c>
      <x:c r="J14" s="65" t="n">
        <x:v>0.630039342744735</x:v>
      </x:c>
      <x:c r="K14" s="65" t="n">
        <x:v>0.8557046979865772</x:v>
      </x:c>
      <x:c r="L14" s="65" t="n">
        <x:v>0.07770270270270271</x:v>
      </x:c>
      <x:c r="M14" s="65" t="n">
        <x:v>0.7342531072477972</x:v>
      </x:c>
      <x:c r="N14" s="63" t="n">
        <x:v>64.2688997505072</x:v>
      </x:c>
      <x:c r="O14" s="59" t="n">
        <x:v>28</x:v>
      </x:c>
      <x:c r="P14" s="63" t="n">
        <x:v>78.26600796580571</x:v>
      </x:c>
      <x:c r="Q14" s="59" t="n">
        <x:v>10</x:v>
      </x:c>
      <x:c r="R14" s="60" t="b">
        <x:v>1</x:v>
      </x:c>
      <x:c r="S14" s="59" t="str">
        <x:v>5/1/2023</x:v>
      </x:c>
      <x:c r="T14" s="63"/>
    </x:row>
    <x:row r="15" ht="15" hidden="0">
      <x:c r="A15" s="59" t="str">
        <x:v>Peer 140</x:v>
      </x:c>
      <x:c r="B15" s="59" t="str">
        <x:v>Other peer</x:v>
      </x:c>
      <x:c r="C15" s="63" t="n">
        <x:v>36.897184</x:v>
      </x:c>
      <x:c r="D15" s="65" t="n">
        <x:v>0.0752653915268981</x:v>
      </x:c>
      <x:c r="E15" s="65" t="n">
        <x:v>0.015519937781701715</x:v>
      </x:c>
      <x:c r="F15" s="65" t="n">
        <x:v>0.2619290133360855</x:v>
      </x:c>
      <x:c r="G15" s="65" t="n">
        <x:v>0.000049332374532827815</x:v>
      </x:c>
      <x:c r="H15" s="65" t="n">
        <x:v>0.652988172976868</x:v>
      </x:c>
      <x:c r="I15" s="65" t="n">
        <x:v>0.024036538151509194</x:v>
      </x:c>
      <x:c r="J15" s="65" t="n">
        <x:v>0.4310113399676001</x:v>
      </x:c>
      <x:c r="K15" s="65" t="n">
        <x:v>0.8926174496644295</x:v>
      </x:c>
      <x:c r="L15" s="65" t="n">
        <x:v>0.9560810810810811</x:v>
      </x:c>
      <x:c r="M15" s="65" t="n">
        <x:v>0.620264655657831</x:v>
      </x:c>
      <x:c r="N15" s="63" t="n">
        <x:v>71.62991180901007</x:v>
      </x:c>
      <x:c r="O15" s="59" t="n">
        <x:v>7</x:v>
      </x:c>
      <x:c r="P15" s="63" t="n">
        <x:v>77.6881285116192</x:v>
      </x:c>
      <x:c r="Q15" s="59" t="n">
        <x:v>11</x:v>
      </x:c>
      <x:c r="R15" s="60" t="b">
        <x:v>0</x:v>
      </x:c>
      <x:c r="S15" s="59"/>
      <x:c r="T15" s="63" t="n">
        <x:v>77.6881285116192</x:v>
      </x:c>
    </x:row>
    <x:row r="16" ht="15" hidden="0">
      <x:c r="A16" s="59" t="str">
        <x:v>Peer 059</x:v>
      </x:c>
      <x:c r="B16" s="59" t="str">
        <x:v>Other peer</x:v>
      </x:c>
      <x:c r="C16" s="63" t="n">
        <x:v>96.504709</x:v>
      </x:c>
      <x:c r="D16" s="65" t="n">
        <x:v>0.07234206571204728</x:v>
      </x:c>
      <x:c r="E16" s="65" t="n">
        <x:v>0.04572616244042558</x:v>
      </x:c>
      <x:c r="F16" s="65" t="n">
        <x:v>0.2282592241172397</x:v>
      </x:c>
      <x:c r="G16" s="65" t="n">
        <x:v>0.1380387747355454</x:v>
      </x:c>
      <x:c r="H16" s="65" t="n">
        <x:v>0.6604723218671185</x:v>
      </x:c>
      <x:c r="I16" s="65" t="n">
        <x:v>0.003297043877703625</x:v>
      </x:c>
      <x:c r="J16" s="65" t="n">
        <x:v>0.7325850497570007</x:v>
      </x:c>
      <x:c r="K16" s="65" t="n">
        <x:v>0.6610738255033557</x:v>
      </x:c>
      <x:c r="L16" s="65" t="n">
        <x:v>0.6756756756756757</x:v>
      </x:c>
      <x:c r="M16" s="65" t="n">
        <x:v>0.6959114895943497</x:v>
      </x:c>
      <x:c r="N16" s="63" t="n">
        <x:v>71.07322890927486</x:v>
      </x:c>
      <x:c r="O16" s="59" t="n">
        <x:v>8</x:v>
      </x:c>
      <x:c r="P16" s="63" t="n">
        <x:v>77.14363432161922</x:v>
      </x:c>
      <x:c r="Q16" s="59" t="n">
        <x:v>12</x:v>
      </x:c>
      <x:c r="R16" s="60" t="b">
        <x:v>0</x:v>
      </x:c>
      <x:c r="S16" s="59"/>
      <x:c r="T16" s="63" t="n">
        <x:v>77.14363432161922</x:v>
      </x:c>
    </x:row>
    <x:row r="17" ht="15" hidden="0">
      <x:c r="A17" s="59" t="str">
        <x:v>Peer 089</x:v>
      </x:c>
      <x:c r="B17" s="59" t="str">
        <x:v>Other peer</x:v>
      </x:c>
      <x:c r="C17" s="63" t="n">
        <x:v>10.094596</x:v>
      </x:c>
      <x:c r="D17" s="65" t="n">
        <x:v>0.09295339803593923</x:v>
      </x:c>
      <x:c r="E17" s="65" t="n">
        <x:v>0.01702346483207451</x:v>
      </x:c>
      <x:c r="F17" s="65" t="n">
        <x:v>0.16489505870269597</x:v>
      </x:c>
      <x:c r="G17" s="65" t="n">
        <x:v>0.057633426300213036</x:v>
      </x:c>
      <x:c r="H17" s="65" t="n">
        <x:v>0.8148532593519412</x:v>
      </x:c>
      <x:c r="I17" s="65" t="n">
        <x:v>0.0008934864742773277</x:v>
      </x:c>
      <x:c r="J17" s="65" t="n">
        <x:v>0.49453830131913906</x:v>
      </x:c>
      <x:c r="K17" s="65" t="n">
        <x:v>0.8993288590604027</x:v>
      </x:c>
      <x:c r="L17" s="65" t="n">
        <x:v>0.25</x:v>
      </x:c>
      <x:c r="M17" s="65" t="n">
        <x:v>0.6668977180100492</x:v>
      </x:c>
      <x:c r="N17" s="63" t="n">
        <x:v>61.8453426505025</x:v>
      </x:c>
      <x:c r="O17" s="59" t="n">
        <x:v>35</x:v>
      </x:c>
      <x:c r="P17" s="63" t="n">
        <x:v>77.02315454534332</x:v>
      </x:c>
      <x:c r="Q17" s="59" t="n">
        <x:v>13</x:v>
      </x:c>
      <x:c r="R17" s="60" t="b">
        <x:v>0</x:v>
      </x:c>
      <x:c r="S17" s="59"/>
      <x:c r="T17" s="63" t="n">
        <x:v>77.02315454534332</x:v>
      </x:c>
    </x:row>
    <x:row r="18" ht="15" hidden="0">
      <x:c r="A18" s="59" t="str">
        <x:v>Peer 020</x:v>
      </x:c>
      <x:c r="B18" s="59" t="str">
        <x:v>Other peer</x:v>
      </x:c>
      <x:c r="C18" s="63" t="n">
        <x:v>17.923519</x:v>
      </x:c>
      <x:c r="D18" s="65" t="n">
        <x:v>0.11824218224111013</x:v>
      </x:c>
      <x:c r="E18" s="65" t="n">
        <x:v>0.013748918390412061</x:v>
      </x:c>
      <x:c r="F18" s="65" t="n">
        <x:v>0.23758749607150248</x:v>
      </x:c>
      <x:c r="G18" s="65" t="n">
        <x:v>0.1789549080929885</x:v>
      </x:c>
      <x:c r="H18" s="65" t="n">
        <x:v>0.456285173091031</x:v>
      </x:c>
      <x:c r="I18" s="65" t="n">
        <x:v>0.0036677802391877857</x:v>
      </x:c>
      <x:c r="J18" s="65" t="n">
        <x:v>0.7701457995834298</x:v>
      </x:c>
      <x:c r="K18" s="65" t="n">
        <x:v>0.7684563758389262</x:v>
      </x:c>
      <x:c r="L18" s="65" t="n">
        <x:v>0.5135135135135135</x:v>
      </x:c>
      <x:c r="M18" s="65" t="n">
        <x:v>0.7693006239536365</x:v>
      </x:c>
      <x:c r="N18" s="63" t="n">
        <x:v>67.95200146260896</x:v>
      </x:c>
      <x:c r="O18" s="59" t="n">
        <x:v>17</x:v>
      </x:c>
      <x:c r="P18" s="63" t="n">
        <x:v>76.26890057429594</x:v>
      </x:c>
      <x:c r="Q18" s="59" t="n">
        <x:v>14</x:v>
      </x:c>
      <x:c r="R18" s="60" t="b">
        <x:v>0</x:v>
      </x:c>
      <x:c r="S18" s="59"/>
      <x:c r="T18" s="63" t="n">
        <x:v>76.26890057429594</x:v>
      </x:c>
    </x:row>
    <x:row r="19" ht="15" hidden="0">
      <x:c r="A19" s="59" t="str">
        <x:v>SIGNATURE BANK</x:v>
      </x:c>
      <x:c r="B19" s="59" t="str">
        <x:v>Failed in 2023</x:v>
      </x:c>
      <x:c r="C19" s="63" t="n">
        <x:v>110.36365</x:v>
      </x:c>
      <x:c r="D19" s="65" t="n">
        <x:v>0.07260634275868912</x:v>
      </x:c>
      <x:c r="E19" s="65" t="n">
        <x:v>0.05494118761023217</x:v>
      </x:c>
      <x:c r="F19" s="65" t="n">
        <x:v>0.23696926478962957</x:v>
      </x:c>
      <x:c r="G19" s="65" t="n">
        <x:v>0.09511586088831278</x:v>
      </x:c>
      <x:c r="H19" s="65" t="n">
        <x:v>0.8966973334167975</x:v>
      </x:c>
      <x:c r="I19" s="65" t="n">
        <x:v>0.0031869477705020995</x:v>
      </x:c>
      <x:c r="J19" s="65" t="n">
        <x:v>0.6943763017819949</x:v>
      </x:c>
      <x:c r="K19" s="65" t="n">
        <x:v>0.6577181208053691</x:v>
      </x:c>
      <x:c r="L19" s="65" t="n">
        <x:v>0.3547297297297297</x:v>
      </x:c>
      <x:c r="M19" s="65" t="n">
        <x:v>0.6757986951303143</x:v>
      </x:c>
      <x:c r="N19" s="63" t="n">
        <x:v>64.57248318845261</x:v>
      </x:c>
      <x:c r="O19" s="59" t="n">
        <x:v>27</x:v>
      </x:c>
      <x:c r="P19" s="63" t="n">
        <x:v>76.2227398852054</x:v>
      </x:c>
      <x:c r="Q19" s="59" t="n">
        <x:v>15</x:v>
      </x:c>
      <x:c r="R19" s="60" t="b">
        <x:v>1</x:v>
      </x:c>
      <x:c r="S19" s="59" t="str">
        <x:v>3/12/2023</x:v>
      </x:c>
      <x:c r="T19" s="63"/>
    </x:row>
    <x:row r="20" ht="15" hidden="0">
      <x:c r="A20" s="59" t="str">
        <x:v>Peer 024</x:v>
      </x:c>
      <x:c r="B20" s="59" t="str">
        <x:v>Other peer</x:v>
      </x:c>
      <x:c r="C20" s="63" t="n">
        <x:v>39.358786</x:v>
      </x:c>
      <x:c r="D20" s="65" t="n">
        <x:v>0.10255074940573625</x:v>
      </x:c>
      <x:c r="E20" s="65" t="n">
        <x:v>0.015082909315343212</x:v>
      </x:c>
      <x:c r="F20" s="65" t="n">
        <x:v>0.17044263001404567</x:v>
      </x:c>
      <x:c r="G20" s="65" t="n">
        <x:v>0.1400727849677165</x:v>
      </x:c>
      <x:c r="H20" s="65" t="n">
        <x:v>0.5519756639412579</x:v>
      </x:c>
      <x:c r="I20" s="65" t="n">
        <x:v>0.00408696031138428</x:v>
      </x:c>
      <x:c r="J20" s="65" t="n">
        <x:v>0.6286507752834992</x:v>
      </x:c>
      <x:c r="K20" s="65" t="n">
        <x:v>0.8691275167785235</x:v>
      </x:c>
      <x:c r="L20" s="65" t="n">
        <x:v>0.4358108108108108</x:v>
      </x:c>
      <x:c r="M20" s="65" t="n">
        <x:v>0.7391736516158035</x:v>
      </x:c>
      <x:c r="N20" s="63" t="n">
        <x:v>67.1788053534323</x:v>
      </x:c>
      <x:c r="O20" s="59" t="n">
        <x:v>20</x:v>
      </x:c>
      <x:c r="P20" s="63" t="n">
        <x:v>75.79994897945042</x:v>
      </x:c>
      <x:c r="Q20" s="59" t="n">
        <x:v>16</x:v>
      </x:c>
      <x:c r="R20" s="60" t="b">
        <x:v>0</x:v>
      </x:c>
      <x:c r="S20" s="59"/>
      <x:c r="T20" s="63" t="n">
        <x:v>75.79994897945042</x:v>
      </x:c>
    </x:row>
    <x:row r="21" ht="15" hidden="0">
      <x:c r="A21" s="59" t="str">
        <x:v>Peer 109</x:v>
      </x:c>
      <x:c r="B21" s="59" t="str">
        <x:v>Other peer</x:v>
      </x:c>
      <x:c r="C21" s="63" t="n">
        <x:v>20.258988</x:v>
      </x:c>
      <x:c r="D21" s="65" t="n">
        <x:v>0.10935817721990852</x:v>
      </x:c>
      <x:c r="E21" s="65" t="n">
        <x:v>0.01449593632218944</x:v>
      </x:c>
      <x:c r="F21" s="65" t="n">
        <x:v>0.3268601570818839</x:v>
      </x:c>
      <x:c r="G21" s="65" t="n">
        <x:v>0.14236515148369253</x:v>
      </x:c>
      <x:c r="H21" s="65" t="n">
        <x:v>0.42992616065729194</x:v>
      </x:c>
      <x:c r="I21" s="65" t="n">
        <x:v>0.0011500009924865348</x:v>
      </x:c>
      <x:c r="J21" s="65" t="n">
        <x:v>0.8367970377227494</x:v>
      </x:c>
      <x:c r="K21" s="65" t="n">
        <x:v>0.7214765100671141</x:v>
      </x:c>
      <x:c r="L21" s="65" t="n">
        <x:v>0.3141891891891892</x:v>
      </x:c>
      <x:c r="M21" s="65" t="n">
        <x:v>0.7770002615255084</x:v>
      </x:c>
      <x:c r="N21" s="63" t="n">
        <x:v>66.77122060820948</x:v>
      </x:c>
      <x:c r="O21" s="59" t="n">
        <x:v>21</x:v>
      </x:c>
      <x:c r="P21" s="63" t="n">
        <x:v>74.76878501121658</x:v>
      </x:c>
      <x:c r="Q21" s="59" t="n">
        <x:v>17</x:v>
      </x:c>
      <x:c r="R21" s="60" t="b">
        <x:v>0</x:v>
      </x:c>
      <x:c r="S21" s="59"/>
      <x:c r="T21" s="63" t="n">
        <x:v>74.76878501121658</x:v>
      </x:c>
    </x:row>
    <x:row r="22" ht="15" hidden="0">
      <x:c r="A22" s="59" t="str">
        <x:v>Peer 028</x:v>
      </x:c>
      <x:c r="B22" s="59" t="str">
        <x:v>Other peer</x:v>
      </x:c>
      <x:c r="C22" s="63" t="n">
        <x:v>182.325674</x:v>
      </x:c>
      <x:c r="D22" s="65" t="n">
        <x:v>0.09303212557985663</x:v>
      </x:c>
      <x:c r="E22" s="65" t="n">
        <x:v>0.03555119724937915</x:v>
      </x:c>
      <x:c r="F22" s="65" t="n">
        <x:v>0.221990200897324</x:v>
      </x:c>
      <x:c r="G22" s="65" t="n">
        <x:v>0.13550939459602546</x:v>
      </x:c>
      <x:c r="H22" s="65" t="n">
        <x:v>0.5594157205307738</x:v>
      </x:c>
      <x:c r="I22" s="65" t="n">
        <x:v>0.006410317437097973</x:v>
      </x:c>
      <x:c r="J22" s="65" t="n">
        <x:v>0.719069659800972</x:v>
      </x:c>
      <x:c r="K22" s="65" t="n">
        <x:v>0.6812080536912752</x:v>
      </x:c>
      <x:c r="L22" s="65" t="n">
        <x:v>0.7567567567567568</x:v>
      </x:c>
      <x:c r="M22" s="65" t="n">
        <x:v>0.6998828783599922</x:v>
      </x:c>
      <x:c r="N22" s="63" t="n">
        <x:v>69.99585696600141</x:v>
      </x:c>
      <x:c r="O22" s="59" t="n">
        <x:v>12</x:v>
      </x:c>
      <x:c r="P22" s="63" t="n">
        <x:v>74.23712290617918</x:v>
      </x:c>
      <x:c r="Q22" s="59" t="n">
        <x:v>18</x:v>
      </x:c>
      <x:c r="R22" s="60" t="b">
        <x:v>0</x:v>
      </x:c>
      <x:c r="S22" s="59"/>
      <x:c r="T22" s="63" t="n">
        <x:v>74.23712290617918</x:v>
      </x:c>
    </x:row>
    <x:row r="23" ht="15" hidden="0">
      <x:c r="A23" s="59" t="str">
        <x:v>Peer 018</x:v>
      </x:c>
      <x:c r="B23" s="59" t="str">
        <x:v>Other peer</x:v>
      </x:c>
      <x:c r="C23" s="63" t="n">
        <x:v>47.596192</x:v>
      </x:c>
      <x:c r="D23" s="65" t="n">
        <x:v>0.09142075903887437</x:v>
      </x:c>
      <x:c r="E23" s="65" t="n">
        <x:v>0.03068869459136563</x:v>
      </x:c>
      <x:c r="F23" s="65" t="n">
        <x:v>0.2945432273237321</x:v>
      </x:c>
      <x:c r="G23" s="65" t="n">
        <x:v>0.04159879391811145</x:v>
      </x:c>
      <x:c r="H23" s="65" t="n">
        <x:v>0.5653976489053005</x:v>
      </x:c>
      <x:c r="I23" s="65" t="n">
        <x:v>0.008772387848661982</x:v>
      </x:c>
      <x:c r="J23" s="65" t="n">
        <x:v>0.6442490164313817</x:v>
      </x:c>
      <x:c r="K23" s="65" t="n">
        <x:v>0.7147651006711409</x:v>
      </x:c>
      <x:c r="L23" s="65" t="n">
        <x:v>0.7297297297297298</x:v>
      </x:c>
      <x:c r="M23" s="65" t="n">
        <x:v>0.6785917130991654</x:v>
      </x:c>
      <x:c r="N23" s="63" t="n">
        <x:v>68.44696929344013</x:v>
      </x:c>
      <x:c r="O23" s="59" t="n">
        <x:v>15</x:v>
      </x:c>
      <x:c r="P23" s="63" t="n">
        <x:v>73.80101982338363</x:v>
      </x:c>
      <x:c r="Q23" s="59" t="n">
        <x:v>19</x:v>
      </x:c>
      <x:c r="R23" s="60" t="b">
        <x:v>0</x:v>
      </x:c>
      <x:c r="S23" s="59"/>
      <x:c r="T23" s="63" t="n">
        <x:v>73.80101982338363</x:v>
      </x:c>
    </x:row>
    <x:row r="24" ht="15" hidden="0">
      <x:c r="A24" s="59" t="str">
        <x:v>Peer 066</x:v>
      </x:c>
      <x:c r="B24" s="59" t="str">
        <x:v>Other peer</x:v>
      </x:c>
      <x:c r="C24" s="63" t="n">
        <x:v>27.775362</x:v>
      </x:c>
      <x:c r="D24" s="65" t="n">
        <x:v>0.040553242834422826</x:v>
      </x:c>
      <x:c r="E24" s="65" t="n">
        <x:v>0.013813393323190532</x:v>
      </x:c>
      <x:c r="F24" s="65" t="n">
        <x:v>0.35892039858922453</x:v>
      </x:c>
      <x:c r="G24" s="65" t="n">
        <x:v>0.12637287028101504</x:v>
      </x:c>
      <x:c r="H24" s="65" t="n">
        <x:v>0.32645335990711055</x:v>
      </x:c>
      <x:c r="I24" s="65" t="n">
        <x:v>0.0017355877979286312</x:v>
      </x:c>
      <x:c r="J24" s="65" t="n">
        <x:v>0.8429530201342282</x:v>
      </x:c>
      <x:c r="K24" s="65" t="n">
        <x:v>0.587248322147651</x:v>
      </x:c>
      <x:c r="L24" s="65" t="n">
        <x:v>0.4932432432432432</x:v>
      </x:c>
      <x:c r="M24" s="65" t="n">
        <x:v>0.7035785291800203</x:v>
      </x:c>
      <x:c r="N24" s="63" t="n">
        <x:v>70.51353926859842</x:v>
      </x:c>
      <x:c r="O24" s="59" t="n">
        <x:v>10</x:v>
      </x:c>
      <x:c r="P24" s="63" t="n">
        <x:v>72.69087636241787</x:v>
      </x:c>
      <x:c r="Q24" s="59" t="n">
        <x:v>20</x:v>
      </x:c>
      <x:c r="R24" s="60" t="b">
        <x:v>0</x:v>
      </x:c>
      <x:c r="S24" s="59"/>
      <x:c r="T24" s="63" t="n">
        <x:v>72.69087636241787</x:v>
      </x:c>
    </x:row>
    <x:row r="25" ht="15" hidden="0">
      <x:c r="A25" s="59" t="str">
        <x:v>Stressed Peer B</x:v>
      </x:c>
      <x:c r="B25" s="59" t="str">
        <x:v>Stressed survivor in 2023</x:v>
      </x:c>
      <x:c r="C25" s="63" t="n">
        <x:v>67.683841</x:v>
      </x:c>
      <x:c r="D25" s="65" t="n">
        <x:v>0.08451206248770662</x:v>
      </x:c>
      <x:c r="E25" s="65" t="n">
        <x:v>0.015414092707888726</x:v>
      </x:c>
      <x:c r="F25" s="65" t="n">
        <x:v>0.125617191258398</x:v>
      </x:c>
      <x:c r="G25" s="65" t="n">
        <x:v>0.05205450043626852</x:v>
      </x:c>
      <x:c r="H25" s="65" t="n">
        <x:v>0.5503240679528293</x:v>
      </x:c>
      <x:c r="I25" s="65" t="n">
        <x:v>0.013657109767403188</x:v>
      </x:c>
      <x:c r="J25" s="65" t="n">
        <x:v>0.41009025688498035</x:v>
      </x:c>
      <x:c r="K25" s="65" t="n">
        <x:v>0.8523489932885906</x:v>
      </x:c>
      <x:c r="L25" s="65" t="n">
        <x:v>0.9054054054054054</x:v>
      </x:c>
      <x:c r="M25" s="65" t="n">
        <x:v>0.5912190944255543</x:v>
      </x:c>
      <x:c r="N25" s="63" t="n">
        <x:v>67.63288983025772</x:v>
      </x:c>
      <x:c r="O25" s="59" t="n">
        <x:v>19</x:v>
      </x:c>
      <x:c r="P25" s="63" t="n">
        <x:v>72.43310296784082</x:v>
      </x:c>
      <x:c r="Q25" s="59" t="n">
        <x:v>21</x:v>
      </x:c>
      <x:c r="R25" s="60" t="b">
        <x:v>0</x:v>
      </x:c>
      <x:c r="S25" s="59"/>
      <x:c r="T25" s="63" t="n">
        <x:v>72.43310296784082</x:v>
      </x:c>
    </x:row>
    <x:row r="26" ht="15" hidden="0">
      <x:c r="A26" s="59" t="str">
        <x:v>Peer 051</x:v>
      </x:c>
      <x:c r="B26" s="59" t="str">
        <x:v>Other peer</x:v>
      </x:c>
      <x:c r="C26" s="63" t="n">
        <x:v>15.939263</x:v>
      </x:c>
      <x:c r="D26" s="65" t="n">
        <x:v>0.07938321865948256</x:v>
      </x:c>
      <x:c r="E26" s="65" t="n">
        <x:v>0.044686946943531834</x:v>
      </x:c>
      <x:c r="F26" s="65" t="n">
        <x:v>0.24659521585157357</x:v>
      </x:c>
      <x:c r="G26" s="65" t="n">
        <x:v>0.275089108597893</x:v>
      </x:c>
      <x:c r="H26" s="65" t="n">
        <x:v>0.445574878321135</x:v>
      </x:c>
      <x:c r="I26" s="65" t="n">
        <x:v>0.00395890629312627</x:v>
      </x:c>
      <x:c r="J26" s="65" t="n">
        <x:v>0.8247627863920388</x:v>
      </x:c>
      <x:c r="K26" s="65" t="n">
        <x:v>0.4899328859060403</x:v>
      </x:c>
      <x:c r="L26" s="65" t="n">
        <x:v>0.5337837837837838</x:v>
      </x:c>
      <x:c r="M26" s="65" t="n">
        <x:v>0.635671622872186</x:v>
      </x:c>
      <x:c r="N26" s="63" t="n">
        <x:v>64.84477023429916</x:v>
      </x:c>
      <x:c r="O26" s="59" t="n">
        <x:v>26</x:v>
      </x:c>
      <x:c r="P26" s="63" t="n">
        <x:v>72.27797738885975</x:v>
      </x:c>
      <x:c r="Q26" s="59" t="n">
        <x:v>22</x:v>
      </x:c>
      <x:c r="R26" s="60" t="b">
        <x:v>0</x:v>
      </x:c>
      <x:c r="S26" s="59"/>
      <x:c r="T26" s="63" t="n">
        <x:v>72.27797738885975</x:v>
      </x:c>
    </x:row>
    <x:row r="27" ht="15" hidden="0">
      <x:c r="A27" s="59" t="str">
        <x:v>Peer 094</x:v>
      </x:c>
      <x:c r="B27" s="59" t="str">
        <x:v>Other peer</x:v>
      </x:c>
      <x:c r="C27" s="63" t="n">
        <x:v>26.612483</x:v>
      </x:c>
      <x:c r="D27" s="65" t="n">
        <x:v>0.10832694566681358</x:v>
      </x:c>
      <x:c r="E27" s="65" t="n">
        <x:v>0.015105505187170997</x:v>
      </x:c>
      <x:c r="F27" s="65" t="n">
        <x:v>0.3390439366368031</x:v>
      </x:c>
      <x:c r="G27" s="65" t="n">
        <x:v>0.1528703029537794</x:v>
      </x:c>
      <x:c r="H27" s="65" t="n">
        <x:v>0.34975724823603477</x:v>
      </x:c>
      <x:c r="I27" s="65" t="n">
        <x:v>0.002143635225241603</x:v>
      </x:c>
      <x:c r="J27" s="65" t="n">
        <x:v>0.8639203887988891</x:v>
      </x:c>
      <x:c r="K27" s="65" t="n">
        <x:v>0.6140939597315437</x:v>
      </x:c>
      <x:c r="L27" s="65" t="n">
        <x:v>0.29729729729729726</x:v>
      </x:c>
      <x:c r="M27" s="65" t="n">
        <x:v>0.7283737313016749</x:v>
      </x:c>
      <x:c r="N27" s="63" t="n">
        <x:v>63.5875648504148</x:v>
      </x:c>
      <x:c r="O27" s="59" t="n">
        <x:v>30</x:v>
      </x:c>
      <x:c r="P27" s="63" t="n">
        <x:v>72.15821938606777</x:v>
      </x:c>
      <x:c r="Q27" s="59" t="n">
        <x:v>23</x:v>
      </x:c>
      <x:c r="R27" s="60" t="b">
        <x:v>0</x:v>
      </x:c>
      <x:c r="S27" s="59"/>
      <x:c r="T27" s="63" t="n">
        <x:v>72.15821938606777</x:v>
      </x:c>
    </x:row>
    <x:row r="28" ht="15" hidden="0">
      <x:c r="A28" s="59" t="str">
        <x:v>Peer 011</x:v>
      </x:c>
      <x:c r="B28" s="59" t="str">
        <x:v>Other peer</x:v>
      </x:c>
      <x:c r="C28" s="63" t="n">
        <x:v>18.13933</x:v>
      </x:c>
      <x:c r="D28" s="65" t="n">
        <x:v>0.11749491298741464</x:v>
      </x:c>
      <x:c r="E28" s="65" t="n">
        <x:v>0.018282207777244253</x:v>
      </x:c>
      <x:c r="F28" s="65" t="n">
        <x:v>0.2386585392073467</x:v>
      </x:c>
      <x:c r="G28" s="65" t="n">
        <x:v>0.13288874896247746</x:v>
      </x:c>
      <x:c r="H28" s="65" t="n">
        <x:v>0.447579062632727</x:v>
      </x:c>
      <x:c r="I28" s="65" t="n">
        <x:v>0.0034662211946526094</x:v>
      </x:c>
      <x:c r="J28" s="65" t="n">
        <x:v>0.7458227262207822</x:v>
      </x:c>
      <x:c r="K28" s="65" t="n">
        <x:v>0.6778523489932886</x:v>
      </x:c>
      <x:c r="L28" s="65" t="n">
        <x:v>0.6925675675675675</x:v>
      </x:c>
      <x:c r="M28" s="65" t="n">
        <x:v>0.7110257990406084</x:v>
      </x:c>
      <x:c r="N28" s="63" t="n">
        <x:v>66.45380792795855</x:v>
      </x:c>
      <x:c r="O28" s="59" t="n">
        <x:v>22</x:v>
      </x:c>
      <x:c r="P28" s="63" t="n">
        <x:v>71.57562412644913</x:v>
      </x:c>
      <x:c r="Q28" s="59" t="n">
        <x:v>24</x:v>
      </x:c>
      <x:c r="R28" s="60" t="b">
        <x:v>0</x:v>
      </x:c>
      <x:c r="S28" s="59"/>
      <x:c r="T28" s="63" t="n">
        <x:v>71.57562412644913</x:v>
      </x:c>
    </x:row>
    <x:row r="29" ht="15" hidden="0">
      <x:c r="A29" s="59" t="str">
        <x:v>Stressed Peer E</x:v>
      </x:c>
      <x:c r="B29" s="59" t="str">
        <x:v>Stressed survivor in 2023</x:v>
      </x:c>
      <x:c r="C29" s="63" t="n">
        <x:v>187.590465</x:v>
      </x:c>
      <x:c r="D29" s="65" t="n">
        <x:v>0.06947828078575316</x:v>
      </x:c>
      <x:c r="E29" s="65" t="n">
        <x:v>0.01809751364494992</x:v>
      </x:c>
      <x:c r="F29" s="65" t="n">
        <x:v>0.25495235592064874</x:v>
      </x:c>
      <x:c r="G29" s="65" t="n">
        <x:v>0.04578506878793456</x:v>
      </x:c>
      <x:c r="H29" s="65" t="n">
        <x:v>0.5189452289269261</x:v>
      </x:c>
      <x:c r="I29" s="65" t="n">
        <x:v>0.003941720820767663</x:v>
      </x:c>
      <x:c r="J29" s="65" t="n">
        <x:v>0.6210367970377227</x:v>
      </x:c>
      <x:c r="K29" s="65" t="n">
        <x:v>0.7651006711409396</x:v>
      </x:c>
      <x:c r="L29" s="65" t="n">
        <x:v>0.472972972972973</x:v>
      </x:c>
      <x:c r="M29" s="65" t="n">
        <x:v>0.6893153633981918</x:v>
      </x:c>
      <x:c r="N29" s="63" t="n">
        <x:v>67.98396633230665</x:v>
      </x:c>
      <x:c r="O29" s="59" t="n">
        <x:v>16</x:v>
      </x:c>
      <x:c r="P29" s="63" t="n">
        <x:v>71.42599277619829</x:v>
      </x:c>
      <x:c r="Q29" s="59" t="n">
        <x:v>25</x:v>
      </x:c>
      <x:c r="R29" s="60" t="b">
        <x:v>0</x:v>
      </x:c>
      <x:c r="S29" s="59"/>
      <x:c r="T29" s="63" t="n">
        <x:v>71.42599277619829</x:v>
      </x:c>
    </x:row>
    <x:row r="30" ht="15" hidden="0">
      <x:c r="A30" s="59" t="str">
        <x:v>Peer 087</x:v>
      </x:c>
      <x:c r="B30" s="59" t="str">
        <x:v>Other peer</x:v>
      </x:c>
      <x:c r="C30" s="63" t="n">
        <x:v>12.963839</x:v>
      </x:c>
      <x:c r="D30" s="65" t="n">
        <x:v>0.12530856021892897</x:v>
      </x:c>
      <x:c r="E30" s="65" t="n">
        <x:v>0.012151955913676496</x:v>
      </x:c>
      <x:c r="F30" s="65" t="n">
        <x:v>0.12984633641315663</x:v>
      </x:c>
      <x:c r="G30" s="65" t="n">
        <x:v>0.07313971240027578</x:v>
      </x:c>
      <x:c r="H30" s="65" t="n">
        <x:v>0.5770441380280663</x:v>
      </x:c>
      <x:c r="I30" s="65" t="n">
        <x:v>0.002347416657943987</x:v>
      </x:c>
      <x:c r="J30" s="65" t="n">
        <x:v>0.47188150890997455</x:v>
      </x:c>
      <x:c r="K30" s="65" t="n">
        <x:v>0.9161073825503356</x:v>
      </x:c>
      <x:c r="L30" s="65" t="n">
        <x:v>0.2533783783783784</x:v>
      </x:c>
      <x:c r="M30" s="65" t="n">
        <x:v>0.657490786248309</x:v>
      </x:c>
      <x:c r="N30" s="63" t="n">
        <x:v>57.23373869596823</x:v>
      </x:c>
      <x:c r="O30" s="59" t="n">
        <x:v>50</x:v>
      </x:c>
      <x:c r="P30" s="63" t="n">
        <x:v>71.3362864180615</x:v>
      </x:c>
      <x:c r="Q30" s="59" t="n">
        <x:v>26</x:v>
      </x:c>
      <x:c r="R30" s="60" t="b">
        <x:v>0</x:v>
      </x:c>
      <x:c r="S30" s="59"/>
      <x:c r="T30" s="63" t="n">
        <x:v>71.3362864180615</x:v>
      </x:c>
    </x:row>
    <x:row r="31" ht="15" hidden="0">
      <x:c r="A31" s="59" t="str">
        <x:v>Peer 057</x:v>
      </x:c>
      <x:c r="B31" s="59" t="str">
        <x:v>Other peer</x:v>
      </x:c>
      <x:c r="C31" s="63" t="n">
        <x:v>23.954627</x:v>
      </x:c>
      <x:c r="D31" s="65" t="n">
        <x:v>0.1111219139417199</x:v>
      </x:c>
      <x:c r="E31" s="65" t="n">
        <x:v>0.021421790454094734</x:v>
      </x:c>
      <x:c r="F31" s="65" t="n">
        <x:v>0.2593870069444204</x:v>
      </x:c>
      <x:c r="G31" s="65" t="n">
        <x:v>0.15874996806772948</x:v>
      </x:c>
      <x:c r="H31" s="65" t="n">
        <x:v>0.4002815907001182</x:v>
      </x:c>
      <x:c r="I31" s="65" t="n">
        <x:v>0.0028827433943998874</x:v>
      </x:c>
      <x:c r="J31" s="65" t="n">
        <x:v>0.8002545707012265</x:v>
      </x:c>
      <x:c r="K31" s="65" t="n">
        <x:v>0.6040268456375839</x:v>
      </x:c>
      <x:c r="L31" s="65" t="n">
        <x:v>0.42567567567567566</x:v>
      </x:c>
      <x:c r="M31" s="65" t="n">
        <x:v>0.6952519284746507</x:v>
      </x:c>
      <x:c r="N31" s="63" t="n">
        <x:v>62.39063241448817</x:v>
      </x:c>
      <x:c r="O31" s="59" t="n">
        <x:v>33</x:v>
      </x:c>
      <x:c r="P31" s="63" t="n">
        <x:v>70.93101009760525</x:v>
      </x:c>
      <x:c r="Q31" s="59" t="n">
        <x:v>27</x:v>
      </x:c>
      <x:c r="R31" s="60" t="b">
        <x:v>0</x:v>
      </x:c>
      <x:c r="S31" s="59"/>
      <x:c r="T31" s="63" t="n">
        <x:v>70.93101009760525</x:v>
      </x:c>
    </x:row>
    <x:row r="32" ht="15" hidden="0">
      <x:c r="A32" s="59" t="str">
        <x:v>Peer 016</x:v>
      </x:c>
      <x:c r="B32" s="59" t="str">
        <x:v>Other peer</x:v>
      </x:c>
      <x:c r="C32" s="63" t="n">
        <x:v>27.409758</x:v>
      </x:c>
      <x:c r="D32" s="65" t="n">
        <x:v>0.12531920201557417</x:v>
      </x:c>
      <x:c r="E32" s="65" t="n">
        <x:v>0.02486647273573156</x:v>
      </x:c>
      <x:c r="F32" s="65" t="n">
        <x:v>0.278279910388118</x:v>
      </x:c>
      <x:c r="G32" s="65" t="n">
        <x:v>0.2081750956122166</x:v>
      </x:c>
      <x:c r="H32" s="65" t="n">
        <x:v>0.39310863993254436</x:v>
      </x:c>
      <x:c r="I32" s="65" t="n">
        <x:v>0.003724372062334716</x:v>
      </x:c>
      <x:c r="J32" s="65" t="n">
        <x:v>0.8443415875954641</x:v>
      </x:c>
      <x:c r="K32" s="65" t="n">
        <x:v>0.5604026845637584</x:v>
      </x:c>
      <x:c r="L32" s="65" t="n">
        <x:v>0.44594594594594594</x:v>
      </x:c>
      <x:c r="M32" s="65" t="n">
        <x:v>0.687874474288241</x:v>
      </x:c>
      <x:c r="N32" s="63" t="n">
        <x:v>61.011703433806716</x:v>
      </x:c>
      <x:c r="O32" s="59" t="n">
        <x:v>37</x:v>
      </x:c>
      <x:c r="P32" s="63" t="n">
        <x:v>70.69689290214116</x:v>
      </x:c>
      <x:c r="Q32" s="59" t="n">
        <x:v>28</x:v>
      </x:c>
      <x:c r="R32" s="60" t="b">
        <x:v>0</x:v>
      </x:c>
      <x:c r="S32" s="59"/>
      <x:c r="T32" s="63" t="n">
        <x:v>70.69689290214116</x:v>
      </x:c>
    </x:row>
    <x:row r="33" ht="15" hidden="0">
      <x:c r="A33" s="59" t="str">
        <x:v>Peer 068</x:v>
      </x:c>
      <x:c r="B33" s="59" t="str">
        <x:v>Other peer</x:v>
      </x:c>
      <x:c r="C33" s="63" t="n">
        <x:v>10.777878</x:v>
      </x:c>
      <x:c r="D33" s="65" t="n">
        <x:v>0.11525849522512688</x:v>
      </x:c>
      <x:c r="E33" s="65" t="n">
        <x:v>0.021878147071250947</x:v>
      </x:c>
      <x:c r="F33" s="65" t="n">
        <x:v>0.185092371615266</x:v>
      </x:c>
      <x:c r="G33" s="65" t="n">
        <x:v>0.1449226479220635</x:v>
      </x:c>
      <x:c r="H33" s="65" t="n">
        <x:v>0.5054925325395401</x:v>
      </x:c>
      <x:c r="I33" s="65" t="n">
        <x:v>0.0022070565299864516</x:v>
      </x:c>
      <x:c r="J33" s="65" t="n">
        <x:v>0.6758157833834761</x:v>
      </x:c>
      <x:c r="K33" s="65" t="n">
        <x:v>0.7181208053691275</x:v>
      </x:c>
      <x:c r="L33" s="65" t="n">
        <x:v>0.2668918918918919</x:v>
      </x:c>
      <x:c r="M33" s="65" t="n">
        <x:v>0.696647238309684</x:v>
      </x:c>
      <x:c r="N33" s="63" t="n">
        <x:v>59.167736339739676</x:v>
      </x:c>
      <x:c r="O33" s="59" t="n">
        <x:v>45</x:v>
      </x:c>
      <x:c r="P33" s="63" t="n">
        <x:v>70.25421283477141</x:v>
      </x:c>
      <x:c r="Q33" s="59" t="n">
        <x:v>29</x:v>
      </x:c>
      <x:c r="R33" s="60" t="b">
        <x:v>0</x:v>
      </x:c>
      <x:c r="S33" s="59"/>
      <x:c r="T33" s="63" t="n">
        <x:v>70.25421283477141</x:v>
      </x:c>
    </x:row>
    <x:row r="34" ht="15" hidden="0">
      <x:c r="A34" s="59" t="str">
        <x:v>Peer 132</x:v>
      </x:c>
      <x:c r="B34" s="59" t="str">
        <x:v>Other peer</x:v>
      </x:c>
      <x:c r="C34" s="63" t="n">
        <x:v>162.436537</x:v>
      </x:c>
      <x:c r="D34" s="65" t="n">
        <x:v>0.0977964520383736</x:v>
      </x:c>
      <x:c r="E34" s="65" t="n">
        <x:v>0.11508706320179678</x:v>
      </x:c>
      <x:c r="F34" s="65" t="n">
        <x:v>0.21412290388830438</x:v>
      </x:c>
      <x:c r="G34" s="65" t="n">
        <x:v>0.036187538780906144</x:v>
      </x:c>
      <x:c r="H34" s="65" t="n">
        <x:v>0.6975015124465961</x:v>
      </x:c>
      <x:c r="I34" s="65" t="n">
        <x:v>0.007777582946379531</x:v>
      </x:c>
      <x:c r="J34" s="65" t="n">
        <x:v>0.529692200879426</x:v>
      </x:c>
      <x:c r="K34" s="65" t="n">
        <x:v>0.5671140939597316</x:v>
      </x:c>
      <x:c r="L34" s="65" t="n">
        <x:v>0.8817567567567568</x:v>
      </x:c>
      <x:c r="M34" s="65" t="n">
        <x:v>0.5480838554265869</x:v>
      </x:c>
      <x:c r="N34" s="63" t="n">
        <x:v>59.86903940723523</x:v>
      </x:c>
      <x:c r="O34" s="59" t="n">
        <x:v>41</x:v>
      </x:c>
      <x:c r="P34" s="63" t="n">
        <x:v>69.0442632528802</x:v>
      </x:c>
      <x:c r="Q34" s="59" t="n">
        <x:v>30</x:v>
      </x:c>
      <x:c r="R34" s="60" t="b">
        <x:v>0</x:v>
      </x:c>
      <x:c r="S34" s="59"/>
      <x:c r="T34" s="63" t="n">
        <x:v>69.0442632528802</x:v>
      </x:c>
    </x:row>
    <x:row r="35" ht="15" hidden="0">
      <x:c r="A35" s="59" t="str">
        <x:v>Peer 031</x:v>
      </x:c>
      <x:c r="B35" s="59" t="str">
        <x:v>Other peer</x:v>
      </x:c>
      <x:c r="C35" s="63" t="n">
        <x:v>13.173581</x:v>
      </x:c>
      <x:c r="D35" s="65" t="n">
        <x:v>0.10239903637439204</x:v>
      </x:c>
      <x:c r="E35" s="65" t="n">
        <x:v>0.012542375531755565</x:v>
      </x:c>
      <x:c r="F35" s="65" t="n">
        <x:v>0.11643728459254929</x:v>
      </x:c>
      <x:c r="G35" s="65" t="n">
        <x:v>0.05933376922404041</x:v>
      </x:c>
      <x:c r="H35" s="65" t="n">
        <x:v>0.5227659442775077</x:v>
      </x:c>
      <x:c r="I35" s="65" t="n">
        <x:v>0.003240044247892296</x:v>
      </x:c>
      <x:c r="J35" s="65" t="n">
        <x:v>0.42425364498958573</x:v>
      </x:c>
      <x:c r="K35" s="65" t="n">
        <x:v>0.8657718120805369</x:v>
      </x:c>
      <x:c r="L35" s="65" t="n">
        <x:v>0.4763513513513513</x:v>
      </x:c>
      <x:c r="M35" s="65" t="n">
        <x:v>0.6060584518051096</x:v>
      </x:c>
      <x:c r="N35" s="63" t="n">
        <x:v>59.626565931864384</x:v>
      </x:c>
      <x:c r="O35" s="59" t="n">
        <x:v>43</x:v>
      </x:c>
      <x:c r="P35" s="63" t="n">
        <x:v>68.01021577203043</x:v>
      </x:c>
      <x:c r="Q35" s="59" t="n">
        <x:v>31</x:v>
      </x:c>
      <x:c r="R35" s="60" t="b">
        <x:v>0</x:v>
      </x:c>
      <x:c r="S35" s="59"/>
      <x:c r="T35" s="63" t="n">
        <x:v>68.01021577203043</x:v>
      </x:c>
    </x:row>
    <x:row r="36" ht="15" hidden="0">
      <x:c r="A36" s="59" t="str">
        <x:v>Stressed Peer D</x:v>
      </x:c>
      <x:c r="B36" s="59" t="str">
        <x:v>Stressed survivor in 2023</x:v>
      </x:c>
      <x:c r="C36" s="63" t="n">
        <x:v>89.544919</x:v>
      </x:c>
      <x:c r="D36" s="65" t="n">
        <x:v>0.05464853901984098</x:v>
      </x:c>
      <x:c r="E36" s="65" t="n">
        <x:v>0.022302906991294502</x:v>
      </x:c>
      <x:c r="F36" s="65" t="n">
        <x:v>0.26171063932728555</x:v>
      </x:c>
      <x:c r="G36" s="65" t="n">
        <x:v>0.05748361244173136</x:v>
      </x:c>
      <x:c r="H36" s="65" t="n">
        <x:v>0.498355387438062</x:v>
      </x:c>
      <x:c r="I36" s="65" t="n">
        <x:v>0.002781836942649435</x:v>
      </x:c>
      <x:c r="J36" s="65" t="n">
        <x:v>0.6655866697523721</x:v>
      </x:c>
      <x:c r="K36" s="65" t="n">
        <x:v>0.6946308724832215</x:v>
      </x:c>
      <x:c r="L36" s="65" t="n">
        <x:v>0.39864864864864863</x:v>
      </x:c>
      <x:c r="M36" s="65" t="n">
        <x:v>0.6799537110151632</x:v>
      </x:c>
      <x:c r="N36" s="63" t="n">
        <x:v>66.43383752409395</x:v>
      </x:c>
      <x:c r="O36" s="59" t="n">
        <x:v>23</x:v>
      </x:c>
      <x:c r="P36" s="63" t="n">
        <x:v>68.00159772274577</x:v>
      </x:c>
      <x:c r="Q36" s="59" t="n">
        <x:v>32</x:v>
      </x:c>
      <x:c r="R36" s="60" t="b">
        <x:v>0</x:v>
      </x:c>
      <x:c r="S36" s="59"/>
      <x:c r="T36" s="63" t="n">
        <x:v>68.00159772274577</x:v>
      </x:c>
    </x:row>
    <x:row r="37" ht="15" hidden="0">
      <x:c r="A37" s="59" t="str">
        <x:v>Stressed Peer C</x:v>
      </x:c>
      <x:c r="B37" s="59" t="str">
        <x:v>Stressed survivor in 2023</x:v>
      </x:c>
      <x:c r="C37" s="63" t="n">
        <x:v>85.531</x:v>
      </x:c>
      <x:c r="D37" s="65" t="n">
        <x:v>0.0562135366124563</x:v>
      </x:c>
      <x:c r="E37" s="65" t="n">
        <x:v>0.07475652102746373</x:v>
      </x:c>
      <x:c r="F37" s="65" t="n">
        <x:v>0.22278472132910873</x:v>
      </x:c>
      <x:c r="G37" s="65" t="n">
        <x:v>0.009359400998336107</x:v>
      </x:c>
      <x:c r="H37" s="65" t="n">
        <x:v>0.6198580207382377</x:v>
      </x:c>
      <x:c r="I37" s="65" t="n">
        <x:v>0.00492481695784881</x:v>
      </x:c>
      <x:c r="J37" s="65" t="n">
        <x:v>0.477597778292062</x:v>
      </x:c>
      <x:c r="K37" s="65" t="n">
        <x:v>0.5771812080536913</x:v>
      </x:c>
      <x:c r="L37" s="65" t="n">
        <x:v>0.7702702702702703</x:v>
      </x:c>
      <x:c r="M37" s="65" t="n">
        <x:v>0.525033772855015</x:v>
      </x:c>
      <x:c r="N37" s="63" t="n">
        <x:v>60.45224058207946</x:v>
      </x:c>
      <x:c r="O37" s="59" t="n">
        <x:v>39</x:v>
      </x:c>
      <x:c r="P37" s="63" t="n">
        <x:v>67.81638691027993</x:v>
      </x:c>
      <x:c r="Q37" s="59" t="n">
        <x:v>33</x:v>
      </x:c>
      <x:c r="R37" s="60" t="b">
        <x:v>0</x:v>
      </x:c>
      <x:c r="S37" s="59"/>
      <x:c r="T37" s="63" t="n">
        <x:v>67.81638691027993</x:v>
      </x:c>
    </x:row>
    <x:row r="38" ht="15" hidden="0">
      <x:c r="A38" s="59" t="str">
        <x:v>Peer 088</x:v>
      </x:c>
      <x:c r="B38" s="59" t="str">
        <x:v>Other peer</x:v>
      </x:c>
      <x:c r="C38" s="63" t="n">
        <x:v>15.821645</x:v>
      </x:c>
      <x:c r="D38" s="65" t="n">
        <x:v>0.09796187438158295</x:v>
      </x:c>
      <x:c r="E38" s="65" t="n">
        <x:v>0.01536262506205897</x:v>
      </x:c>
      <x:c r="F38" s="65" t="n">
        <x:v>0.24695105976654133</x:v>
      </x:c>
      <x:c r="G38" s="65" t="n">
        <x:v>0.105659138096338</x:v>
      </x:c>
      <x:c r="H38" s="65" t="n">
        <x:v>0.35369164744907033</x:v>
      </x:c>
      <x:c r="I38" s="65" t="n">
        <x:v>0.002253424557515641</x:v>
      </x:c>
      <x:c r="J38" s="65" t="n">
        <x:v>0.7419115945383012</x:v>
      </x:c>
      <x:c r="K38" s="65" t="n">
        <x:v>0.6174496644295302</x:v>
      </x:c>
      <x:c r="L38" s="65" t="n">
        <x:v>0.3547297297297297</x:v>
      </x:c>
      <x:c r="M38" s="65" t="n">
        <x:v>0.6768257272622339</x:v>
      </x:c>
      <x:c r="N38" s="63" t="n">
        <x:v>61.70244548598335</x:v>
      </x:c>
      <x:c r="O38" s="59" t="n">
        <x:v>36</x:v>
      </x:c>
      <x:c r="P38" s="63" t="n">
        <x:v>67.77163044684403</x:v>
      </x:c>
      <x:c r="Q38" s="59" t="n">
        <x:v>34</x:v>
      </x:c>
      <x:c r="R38" s="60" t="b">
        <x:v>0</x:v>
      </x:c>
      <x:c r="S38" s="59"/>
      <x:c r="T38" s="63" t="n">
        <x:v>67.77163044684403</x:v>
      </x:c>
    </x:row>
    <x:row r="39" ht="15" hidden="0">
      <x:c r="A39" s="59" t="str">
        <x:v>Peer 100</x:v>
      </x:c>
      <x:c r="B39" s="59" t="str">
        <x:v>Other peer</x:v>
      </x:c>
      <x:c r="C39" s="63" t="n">
        <x:v>22.629483</x:v>
      </x:c>
      <x:c r="D39" s="65" t="n">
        <x:v>0.10285343240055463</x:v>
      </x:c>
      <x:c r="E39" s="65" t="n">
        <x:v>0.007434062899271715</x:v>
      </x:c>
      <x:c r="F39" s="65" t="n">
        <x:v>0.3167295072538776</x:v>
      </x:c>
      <x:c r="G39" s="65" t="n">
        <x:v>0.022951897298412044</x:v>
      </x:c>
      <x:c r="H39" s="65" t="n">
        <x:v>0.4725146325434921</x:v>
      </x:c>
      <x:c r="I39" s="65" t="n">
        <x:v>0.0028454107027952157</x:v>
      </x:c>
      <x:c r="J39" s="65" t="n">
        <x:v>0.6163850960425827</x:v>
      </x:c>
      <x:c r="K39" s="65" t="n">
        <x:v>0.8154362416107382</x:v>
      </x:c>
      <x:c r="L39" s="65" t="n">
        <x:v>0.5168918918918919</x:v>
      </x:c>
      <x:c r="M39" s="65" t="n">
        <x:v>0.7089589170761854</x:v>
      </x:c>
      <x:c r="N39" s="63" t="n">
        <x:v>65.89412640205184</x:v>
      </x:c>
      <x:c r="O39" s="59" t="n">
        <x:v>24</x:v>
      </x:c>
      <x:c r="P39" s="63" t="n">
        <x:v>67.59735684750017</x:v>
      </x:c>
      <x:c r="Q39" s="59" t="n">
        <x:v>35</x:v>
      </x:c>
      <x:c r="R39" s="60" t="b">
        <x:v>0</x:v>
      </x:c>
      <x:c r="S39" s="59"/>
      <x:c r="T39" s="63" t="n">
        <x:v>67.59735684750017</x:v>
      </x:c>
    </x:row>
    <x:row r="40" ht="15" hidden="0">
      <x:c r="A40" s="59" t="str">
        <x:v>Peer 049</x:v>
      </x:c>
      <x:c r="B40" s="59" t="str">
        <x:v>Other peer</x:v>
      </x:c>
      <x:c r="C40" s="63" t="n">
        <x:v>35.158162</x:v>
      </x:c>
      <x:c r="D40" s="65" t="n">
        <x:v>0.09507729670282536</x:v>
      </x:c>
      <x:c r="E40" s="65" t="n">
        <x:v>0.023275704799357828</x:v>
      </x:c>
      <x:c r="F40" s="65" t="n">
        <x:v>0.23916312803837697</x:v>
      </x:c>
      <x:c r="G40" s="65" t="n">
        <x:v>0.07092887487910378</x:v>
      </x:c>
      <x:c r="H40" s="65" t="n">
        <x:v>0.5038820425976762</x:v>
      </x:c>
      <x:c r="I40" s="65" t="n">
        <x:v>0.0018830620009885697</x:v>
      </x:c>
      <x:c r="J40" s="65" t="n">
        <x:v>0.6664198102291137</x:v>
      </x:c>
      <x:c r="K40" s="65" t="n">
        <x:v>0.697986577181208</x:v>
      </x:c>
      <x:c r="L40" s="65" t="n">
        <x:v>0.472972972972973</x:v>
      </x:c>
      <x:c r="M40" s="65" t="n">
        <x:v>0.6820205878912815</x:v>
      </x:c>
      <x:c r="N40" s="63" t="n">
        <x:v>64.25709503527347</x:v>
      </x:c>
      <x:c r="O40" s="59" t="n">
        <x:v>29</x:v>
      </x:c>
      <x:c r="P40" s="63" t="n">
        <x:v>67.39083552109363</x:v>
      </x:c>
      <x:c r="Q40" s="59" t="n">
        <x:v>36</x:v>
      </x:c>
      <x:c r="R40" s="60" t="b">
        <x:v>0</x:v>
      </x:c>
      <x:c r="S40" s="59"/>
      <x:c r="T40" s="63" t="n">
        <x:v>67.39083552109363</x:v>
      </x:c>
    </x:row>
    <x:row r="41" ht="15" hidden="0">
      <x:c r="A41" s="59" t="str">
        <x:v>Peer 119</x:v>
      </x:c>
      <x:c r="B41" s="59" t="str">
        <x:v>Other peer</x:v>
      </x:c>
      <x:c r="C41" s="63" t="n">
        <x:v>56.05</x:v>
      </x:c>
      <x:c r="D41" s="65" t="n">
        <x:v>0.037734165923282784</x:v>
      </x:c>
      <x:c r="E41" s="65" t="n">
        <x:v>0.10747546833184657</x:v>
      </x:c>
      <x:c r="F41" s="65" t="n">
        <x:v>0.4583586083853702</x:v>
      </x:c>
      <x:c r="G41" s="65" t="n">
        <x:v>0.037825059101654845</x:v>
      </x:c>
      <x:c r="H41" s="65" t="n">
        <x:v>0.5277485533929511</x:v>
      </x:c>
      <x:c r="I41" s="65" t="n">
        <x:v>0.033767745980563396</x:v>
      </x:c>
      <x:c r="J41" s="65" t="n">
        <x:v>0.7042814163388105</x:v>
      </x:c>
      <x:c r="K41" s="65" t="n">
        <x:v>0.4832214765100671</x:v>
      </x:c>
      <x:c r="L41" s="65" t="n">
        <x:v>0.9189189189189189</x:v>
      </x:c>
      <x:c r="M41" s="65" t="n">
        <x:v>0.5833728703683788</x:v>
      </x:c>
      <x:c r="N41" s="63" t="n">
        <x:v>67.88360155581027</x:v>
      </x:c>
      <x:c r="O41" s="59" t="n">
        <x:v>18</x:v>
      </x:c>
      <x:c r="P41" s="63" t="n">
        <x:v>67.12458382329982</x:v>
      </x:c>
      <x:c r="Q41" s="59" t="n">
        <x:v>37</x:v>
      </x:c>
      <x:c r="R41" s="60" t="b">
        <x:v>0</x:v>
      </x:c>
      <x:c r="S41" s="59"/>
      <x:c r="T41" s="63" t="n">
        <x:v>67.12458382329982</x:v>
      </x:c>
    </x:row>
    <x:row r="42" ht="15" hidden="0">
      <x:c r="A42" s="59" t="str">
        <x:v>Peer 064</x:v>
      </x:c>
      <x:c r="B42" s="59" t="str">
        <x:v>Other peer</x:v>
      </x:c>
      <x:c r="C42" s="63" t="n">
        <x:v>71.16637</x:v>
      </x:c>
      <x:c r="D42" s="65" t="n">
        <x:v>0.12047079259487312</x:v>
      </x:c>
      <x:c r="E42" s="65" t="n">
        <x:v>0.011783374647322886</x:v>
      </x:c>
      <x:c r="F42" s="65" t="n">
        <x:v>0.20314924029425696</x:v>
      </x:c>
      <x:c r="G42" s="65" t="n">
        <x:v>0.09368949721518792</x:v>
      </x:c>
      <x:c r="H42" s="65" t="n">
        <x:v>0.4147310836873976</x:v>
      </x:c>
      <x:c r="I42" s="65" t="n">
        <x:v>0.0039206358778049065</x:v>
      </x:c>
      <x:c r="J42" s="65" t="n">
        <x:v>0.6404998842860449</x:v>
      </x:c>
      <x:c r="K42" s="65" t="n">
        <x:v>0.7449664429530202</x:v>
      </x:c>
      <x:c r="L42" s="65" t="n">
        <x:v>0.4527027027027027</x:v>
      </x:c>
      <x:c r="M42" s="65" t="n">
        <x:v>0.6907611168185395</x:v>
      </x:c>
      <x:c r="N42" s="63" t="n">
        <x:v>60.99180917895611</x:v>
      </x:c>
      <x:c r="O42" s="59" t="n">
        <x:v>38</x:v>
      </x:c>
      <x:c r="P42" s="63" t="n">
        <x:v>66.96556760179358</x:v>
      </x:c>
      <x:c r="Q42" s="59" t="n">
        <x:v>38</x:v>
      </x:c>
      <x:c r="R42" s="60" t="b">
        <x:v>0</x:v>
      </x:c>
      <x:c r="S42" s="59"/>
      <x:c r="T42" s="63" t="n">
        <x:v>66.96556760179358</x:v>
      </x:c>
    </x:row>
    <x:row r="43" ht="15" hidden="0">
      <x:c r="A43" s="59" t="str">
        <x:v>Peer 026</x:v>
      </x:c>
      <x:c r="B43" s="59" t="str">
        <x:v>Other peer</x:v>
      </x:c>
      <x:c r="C43" s="63" t="n">
        <x:v>52.953767</x:v>
      </x:c>
      <x:c r="D43" s="65" t="n">
        <x:v>0.05775660870358855</x:v>
      </x:c>
      <x:c r="E43" s="65" t="n">
        <x:v>0.2233765541174814</x:v>
      </x:c>
      <x:c r="F43" s="65" t="n">
        <x:v>0.39355577857190027</x:v>
      </x:c>
      <x:c r="G43" s="65" t="n">
        <x:v>0.055982317725107325</x:v>
      </x:c>
      <x:c r="H43" s="65" t="n">
        <x:v>0.5448424436404552</x:v>
      </x:c>
      <x:c r="I43" s="65" t="n">
        <x:v>0.0038259296167220984</x:v>
      </x:c>
      <x:c r="J43" s="65" t="n">
        <x:v>0.7493867160379541</x:v>
      </x:c>
      <x:c r="K43" s="65" t="n">
        <x:v>0.4463087248322148</x:v>
      </x:c>
      <x:c r="L43" s="65" t="n">
        <x:v>0.6216216216216216</x:v>
      </x:c>
      <x:c r="M43" s="65" t="n">
        <x:v>0.5783232916294314</x:v>
      </x:c>
      <x:c r="N43" s="63" t="n">
        <x:v>63.18038175245707</x:v>
      </x:c>
      <x:c r="O43" s="59" t="n">
        <x:v>31</x:v>
      </x:c>
      <x:c r="P43" s="63" t="n">
        <x:v>66.49336588700547</x:v>
      </x:c>
      <x:c r="Q43" s="59" t="n">
        <x:v>39</x:v>
      </x:c>
      <x:c r="R43" s="60" t="b">
        <x:v>0</x:v>
      </x:c>
      <x:c r="S43" s="59"/>
      <x:c r="T43" s="63" t="n">
        <x:v>66.49336588700547</x:v>
      </x:c>
    </x:row>
    <x:row r="44" ht="15" hidden="0">
      <x:c r="A44" s="59" t="str">
        <x:v>Peer 116</x:v>
      </x:c>
      <x:c r="B44" s="59" t="str">
        <x:v>Other peer</x:v>
      </x:c>
      <x:c r="C44" s="63" t="n">
        <x:v>11.097748</x:v>
      </x:c>
      <x:c r="D44" s="65" t="n">
        <x:v>0.11177700196472293</x:v>
      </x:c>
      <x:c r="E44" s="65" t="n">
        <x:v>0.025027960627687706</x:v>
      </x:c>
      <x:c r="F44" s="65" t="n">
        <x:v>0.23855272258840263</x:v>
      </x:c>
      <x:c r="G44" s="65" t="n">
        <x:v>0.09681790736275599</x:v>
      </x:c>
      <x:c r="H44" s="65" t="n">
        <x:v>0.5090902135939148</x:v>
      </x:c>
      <x:c r="I44" s="65" t="n">
        <x:v>0.000846465610257347</x:v>
      </x:c>
      <x:c r="J44" s="65" t="n">
        <x:v>0.7045359870400371</x:v>
      </x:c>
      <x:c r="K44" s="65" t="n">
        <x:v>0.697986577181208</x:v>
      </x:c>
      <x:c r="L44" s="65" t="n">
        <x:v>0.0945945945945946</x:v>
      </x:c>
      <x:c r="M44" s="65" t="n">
        <x:v>0.701253636065482</x:v>
      </x:c>
      <x:c r="N44" s="63" t="n">
        <x:v>57.32374521412471</x:v>
      </x:c>
      <x:c r="O44" s="59" t="n">
        <x:v>49</x:v>
      </x:c>
      <x:c r="P44" s="63" t="n">
        <x:v>66.30885337768923</x:v>
      </x:c>
      <x:c r="Q44" s="59" t="n">
        <x:v>40</x:v>
      </x:c>
      <x:c r="R44" s="60" t="b">
        <x:v>0</x:v>
      </x:c>
      <x:c r="S44" s="59"/>
      <x:c r="T44" s="63" t="n">
        <x:v>66.30885337768923</x:v>
      </x:c>
    </x:row>
    <x:row r="45" ht="15" hidden="0">
      <x:c r="A45" s="59" t="str">
        <x:v>Peer 008</x:v>
      </x:c>
      <x:c r="B45" s="59" t="str">
        <x:v>Other peer</x:v>
      </x:c>
      <x:c r="C45" s="63" t="n">
        <x:v>32.216733</x:v>
      </x:c>
      <x:c r="D45" s="65" t="n">
        <x:v>0.09753447067398174</x:v>
      </x:c>
      <x:c r="E45" s="65" t="n">
        <x:v>0.027018040593998156</x:v>
      </x:c>
      <x:c r="F45" s="65" t="n">
        <x:v>0.3227497648504583</x:v>
      </x:c>
      <x:c r="G45" s="65" t="n">
        <x:v>0.1265475415324472</x:v>
      </x:c>
      <x:c r="H45" s="65" t="n">
        <x:v>0.34528119662251056</x:v>
      </x:c>
      <x:c r="I45" s="65" t="n">
        <x:v>0.003610336278403557</x:v>
      </x:c>
      <x:c r="J45" s="65" t="n">
        <x:v>0.8128442490164314</x:v>
      </x:c>
      <x:c r="K45" s="65" t="n">
        <x:v>0.47315436241610737</x:v>
      </x:c>
      <x:c r="L45" s="65" t="n">
        <x:v>0.5641891891891893</x:v>
      </x:c>
      <x:c r="M45" s="65" t="n">
        <x:v>0.6201619162662032</x:v>
      </x:c>
      <x:c r="N45" s="63" t="n">
        <x:v>61.93143182135877</x:v>
      </x:c>
      <x:c r="O45" s="59" t="n">
        <x:v>34</x:v>
      </x:c>
      <x:c r="P45" s="63" t="n">
        <x:v>66.24570706691915</x:v>
      </x:c>
      <x:c r="Q45" s="59" t="n">
        <x:v>41</x:v>
      </x:c>
      <x:c r="R45" s="60" t="b">
        <x:v>0</x:v>
      </x:c>
      <x:c r="S45" s="59"/>
      <x:c r="T45" s="63" t="n">
        <x:v>66.24570706691915</x:v>
      </x:c>
    </x:row>
    <x:row r="46" ht="15" hidden="0">
      <x:c r="A46" s="59" t="str">
        <x:v>Peer 032</x:v>
      </x:c>
      <x:c r="B46" s="59" t="str">
        <x:v>Other peer</x:v>
      </x:c>
      <x:c r="C46" s="63" t="n">
        <x:v>15.614778</x:v>
      </x:c>
      <x:c r="D46" s="65" t="n">
        <x:v>0.07336159374151845</x:v>
      </x:c>
      <x:c r="E46" s="65" t="n">
        <x:v>0.01256681330980178</x:v>
      </x:c>
      <x:c r="F46" s="65" t="n">
        <x:v>0.33458253457077647</x:v>
      </x:c>
      <x:c r="G46" s="65" t="n">
        <x:v>0.03919600183322058</x:v>
      </x:c>
      <x:c r="H46" s="65" t="n">
        <x:v>0.41853735612777676</x:v>
      </x:c>
      <x:c r="I46" s="65" t="n">
        <x:v>0.0037871457028371015</x:v>
      </x:c>
      <x:c r="J46" s="65" t="n">
        <x:v>0.6675538069891229</x:v>
      </x:c>
      <x:c r="K46" s="65" t="n">
        <x:v>0.7416107382550335</x:v>
      </x:c>
      <x:c r="L46" s="65" t="n">
        <x:v>0.6452702702702703</x:v>
      </x:c>
      <x:c r="M46" s="65" t="n">
        <x:v>0.7036086068448578</x:v>
      </x:c>
      <x:c r="N46" s="63" t="n">
        <x:v>70.99087813474128</x:v>
      </x:c>
      <x:c r="O46" s="59" t="n">
        <x:v>9</x:v>
      </x:c>
      <x:c r="P46" s="63" t="n">
        <x:v>65.9995186282624</x:v>
      </x:c>
      <x:c r="Q46" s="59" t="n">
        <x:v>42</x:v>
      </x:c>
      <x:c r="R46" s="60" t="b">
        <x:v>0</x:v>
      </x:c>
      <x:c r="S46" s="59"/>
      <x:c r="T46" s="63" t="n">
        <x:v>65.9995186282624</x:v>
      </x:c>
    </x:row>
    <x:row r="47" ht="15" hidden="0">
      <x:c r="A47" s="59" t="str">
        <x:v>Peer 103</x:v>
      </x:c>
      <x:c r="B47" s="59" t="str">
        <x:v>Other peer</x:v>
      </x:c>
      <x:c r="C47" s="63" t="n">
        <x:v>31.498</x:v>
      </x:c>
      <x:c r="D47" s="65" t="n">
        <x:v>0.01006413105594006</x:v>
      </x:c>
      <x:c r="E47" s="65" t="n">
        <x:v>0.04257413169090101</x:v>
      </x:c>
      <x:c r="F47" s="65" t="n">
        <x:v>0.9216458187821449</x:v>
      </x:c>
      <x:c r="G47" s="65" t="n">
        <x:v>3.277602523659306</x:v>
      </x:c>
      <x:c r="H47" s="65" t="n">
        <x:v>0.03243682055626147</x:v>
      </x:c>
      <x:c r="I47" s="65" t="n">
        <x:v>0</x:v>
      </x:c>
      <x:c r="J47" s="65" t="n">
        <x:v>1</x:v>
      </x:c>
      <x:c r="K47" s="65" t="n">
        <x:v>0.24161073825503354</x:v>
      </x:c>
      <x:c r="L47" s="65" t="n">
        <x:v>0.018581081081081082</x:v>
      </x:c>
      <x:c r="M47" s="65" t="n">
        <x:v>0.49153915231142425</x:v>
      </x:c>
      <x:c r="N47" s="63" t="n">
        <x:v>54.90012564853859</x:v>
      </x:c>
      <x:c r="O47" s="59" t="n">
        <x:v>56</x:v>
      </x:c>
      <x:c r="P47" s="63" t="n">
        <x:v>65.96395690800973</x:v>
      </x:c>
      <x:c r="Q47" s="59" t="n">
        <x:v>43</x:v>
      </x:c>
      <x:c r="R47" s="60" t="b">
        <x:v>0</x:v>
      </x:c>
      <x:c r="S47" s="59"/>
      <x:c r="T47" s="63" t="n">
        <x:v>65.96395690800973</x:v>
      </x:c>
    </x:row>
    <x:row r="48" ht="15" hidden="0">
      <x:c r="A48" s="59" t="str">
        <x:v>Peer 097</x:v>
      </x:c>
      <x:c r="B48" s="59" t="str">
        <x:v>Other peer</x:v>
      </x:c>
      <x:c r="C48" s="63" t="n">
        <x:v>110.9</x:v>
      </x:c>
      <x:c r="D48" s="65" t="n">
        <x:v>0.026654643823264202</x:v>
      </x:c>
      <x:c r="E48" s="65" t="n">
        <x:v>0.07659152389540126</x:v>
      </x:c>
      <x:c r="F48" s="65" t="n">
        <x:v>0.5274120829576194</x:v>
      </x:c>
      <x:c r="G48" s="65" t="n">
        <x:v>1.073748308525034</x:v>
      </x:c>
      <x:c r="H48" s="65" t="n">
        <x:v>0.0728129654307439</x:v>
      </x:c>
      <x:c r="I48" s="65" t="n">
        <x:v>0.0105982905982906</x:v>
      </x:c>
      <x:c r="J48" s="65" t="n">
        <x:v>0.969613515389956</x:v>
      </x:c>
      <x:c r="K48" s="65" t="n">
        <x:v>0.174496644295302</x:v>
      </x:c>
      <x:c r="L48" s="65" t="n">
        <x:v>0.8243243243243243</x:v>
      </x:c>
      <x:c r="M48" s="65" t="n">
        <x:v>0.4113323530904401</x:v>
      </x:c>
      <x:c r="N48" s="63" t="n">
        <x:v>62.72022391729646</x:v>
      </x:c>
      <x:c r="O48" s="59" t="n">
        <x:v>32</x:v>
      </x:c>
      <x:c r="P48" s="63" t="n">
        <x:v>65.77212890097266</x:v>
      </x:c>
      <x:c r="Q48" s="59" t="n">
        <x:v>44</x:v>
      </x:c>
      <x:c r="R48" s="60" t="b">
        <x:v>0</x:v>
      </x:c>
      <x:c r="S48" s="59"/>
      <x:c r="T48" s="63" t="n">
        <x:v>65.77212890097266</x:v>
      </x:c>
    </x:row>
    <x:row r="49" ht="15" hidden="0">
      <x:c r="A49" s="59" t="str">
        <x:v>Peer 012</x:v>
      </x:c>
      <x:c r="B49" s="59" t="str">
        <x:v>Other peer</x:v>
      </x:c>
      <x:c r="C49" s="63" t="n">
        <x:v>12.922116</x:v>
      </x:c>
      <x:c r="D49" s="65" t="n">
        <x:v>0.08693026745774454</x:v>
      </x:c>
      <x:c r="E49" s="65" t="n">
        <x:v>0.025589926603351958</x:v>
      </x:c>
      <x:c r="F49" s="65" t="n">
        <x:v>0.42027931029252485</x:v>
      </x:c>
      <x:c r="G49" s="65" t="n">
        <x:v>0.0034843050485034136</x:v>
      </x:c>
      <x:c r="H49" s="65" t="n">
        <x:v>0.50779494633778</x:v>
      </x:c>
      <x:c r="I49" s="65" t="n">
        <x:v>0.0037661340167928115</x:v>
      </x:c>
      <x:c r="J49" s="65" t="n">
        <x:v>0.5940291599166859</x:v>
      </x:c>
      <x:c r="K49" s="65" t="n">
        <x:v>0.6845637583892618</x:v>
      </x:c>
      <x:c r="L49" s="65" t="n">
        <x:v>0.34797297297297297</x:v>
      </x:c>
      <x:c r="M49" s="65" t="n">
        <x:v>0.6376918019744195</x:v>
      </x:c>
      <x:c r="N49" s="63" t="n">
        <x:v>60.31517296649277</x:v>
      </x:c>
      <x:c r="O49" s="59" t="n">
        <x:v>40</x:v>
      </x:c>
      <x:c r="P49" s="63" t="n">
        <x:v>65.44672103858144</x:v>
      </x:c>
      <x:c r="Q49" s="59" t="n">
        <x:v>45</x:v>
      </x:c>
      <x:c r="R49" s="60" t="b">
        <x:v>0</x:v>
      </x:c>
      <x:c r="S49" s="59"/>
      <x:c r="T49" s="63" t="n">
        <x:v>65.44672103858144</x:v>
      </x:c>
    </x:row>
    <x:row r="50" ht="15" hidden="0">
      <x:c r="A50" s="59" t="str">
        <x:v>Peer 079</x:v>
      </x:c>
      <x:c r="B50" s="59" t="str">
        <x:v>Other peer</x:v>
      </x:c>
      <x:c r="C50" s="63" t="n">
        <x:v>13.020948</x:v>
      </x:c>
      <x:c r="D50" s="65" t="n">
        <x:v>0.1193201140193479</x:v>
      </x:c>
      <x:c r="E50" s="65" t="n">
        <x:v>0.022584607510912416</x:v>
      </x:c>
      <x:c r="F50" s="65" t="n">
        <x:v>0.17267475455704148</x:v>
      </x:c>
      <x:c r="G50" s="65" t="n">
        <x:v>0.054107685009792995</x:v>
      </x:c>
      <x:c r="H50" s="65" t="n">
        <x:v>0.5391434537754328</x:v>
      </x:c>
      <x:c r="I50" s="65" t="n">
        <x:v>0.00170624106754665</x:v>
      </x:c>
      <x:c r="J50" s="65" t="n">
        <x:v>0.49752372136079615</x:v>
      </x:c>
      <x:c r="K50" s="65" t="n">
        <x:v>0.7583892617449665</x:v>
      </x:c>
      <x:c r="L50" s="65" t="n">
        <x:v>0.1858108108108108</x:v>
      </x:c>
      <x:c r="M50" s="65" t="n">
        <x:v>0.6142610582996635</x:v>
      </x:c>
      <x:c r="N50" s="63" t="n">
        <x:v>52.023295116036884</x:v>
      </x:c>
      <x:c r="O50" s="59" t="n">
        <x:v>72</x:v>
      </x:c>
      <x:c r="P50" s="63" t="n">
        <x:v>65.17169248456942</x:v>
      </x:c>
      <x:c r="Q50" s="59" t="n">
        <x:v>46</x:v>
      </x:c>
      <x:c r="R50" s="60" t="b">
        <x:v>0</x:v>
      </x:c>
      <x:c r="S50" s="59"/>
      <x:c r="T50" s="63" t="n">
        <x:v>65.17169248456942</x:v>
      </x:c>
    </x:row>
    <x:row r="51" ht="15" hidden="0">
      <x:c r="A51" s="59" t="str">
        <x:v>Peer 052</x:v>
      </x:c>
      <x:c r="B51" s="59" t="str">
        <x:v>Other peer</x:v>
      </x:c>
      <x:c r="C51" s="63" t="n">
        <x:v>10.625188</x:v>
      </x:c>
      <x:c r="D51" s="65" t="n">
        <x:v>0.1034102173062726</x:v>
      </x:c>
      <x:c r="E51" s="65" t="n">
        <x:v>0.025581853234032188</x:v>
      </x:c>
      <x:c r="F51" s="65" t="n">
        <x:v>0.268813408289811</x:v>
      </x:c>
      <x:c r="G51" s="65" t="n">
        <x:v>0.099360820857827</x:v>
      </x:c>
      <x:c r="H51" s="65" t="n">
        <x:v>0.38066243971658237</x:v>
      </x:c>
      <x:c r="I51" s="65" t="n">
        <x:v>0.004277553778058321</x:v>
      </x:c>
      <x:c r="J51" s="65" t="n">
        <x:v>0.7652163850960425</x:v>
      </x:c>
      <x:c r="K51" s="65" t="n">
        <x:v>0.540268456375839</x:v>
      </x:c>
      <x:c r="L51" s="65" t="n">
        <x:v>0.43581081081081086</x:v>
      </x:c>
      <x:c r="M51" s="65" t="n">
        <x:v>0.6429792183028457</x:v>
      </x:c>
      <x:c r="N51" s="63" t="n">
        <x:v>59.82915430155096</x:v>
      </x:c>
      <x:c r="O51" s="59" t="n">
        <x:v>42</x:v>
      </x:c>
      <x:c r="P51" s="63" t="n">
        <x:v>65.02359560594758</x:v>
      </x:c>
      <x:c r="Q51" s="59" t="n">
        <x:v>47</x:v>
      </x:c>
      <x:c r="R51" s="60" t="b">
        <x:v>0</x:v>
      </x:c>
      <x:c r="S51" s="59"/>
      <x:c r="T51" s="63" t="n">
        <x:v>65.02359560594758</x:v>
      </x:c>
    </x:row>
    <x:row r="52" ht="15" hidden="0">
      <x:c r="A52" s="59" t="str">
        <x:v>Peer 125</x:v>
      </x:c>
      <x:c r="B52" s="59" t="str">
        <x:v>Other peer</x:v>
      </x:c>
      <x:c r="C52" s="63" t="n">
        <x:v>21.228609</x:v>
      </x:c>
      <x:c r="D52" s="65" t="n">
        <x:v>0.0759615479280814</x:v>
      </x:c>
      <x:c r="E52" s="65" t="n">
        <x:v>0.009549094808802592</x:v>
      </x:c>
      <x:c r="F52" s="65" t="n">
        <x:v>0.21200998143590097</x:v>
      </x:c>
      <x:c r="G52" s="65" t="n">
        <x:v>0.11610807177168202</x:v>
      </x:c>
      <x:c r="H52" s="65" t="n">
        <x:v>0.07943427473228892</x:v>
      </x:c>
      <x:c r="I52" s="65" t="n">
        <x:v>0.0006396948309676341</x:v>
      </x:c>
      <x:c r="J52" s="65" t="n">
        <x:v>0.6884980328627632</x:v>
      </x:c>
      <x:c r="K52" s="65" t="n">
        <x:v>0.5570469798657718</x:v>
      </x:c>
      <x:c r="L52" s="65" t="n">
        <x:v>0.07770270270270271</x:v>
      </x:c>
      <x:c r="M52" s="65" t="n">
        <x:v>0.6192945582271228</x:v>
      </x:c>
      <x:c r="N52" s="63" t="n">
        <x:v>56.028205847527566</x:v>
      </x:c>
      <x:c r="O52" s="59" t="n">
        <x:v>52</x:v>
      </x:c>
      <x:c r="P52" s="63" t="n">
        <x:v>64.92460139177965</x:v>
      </x:c>
      <x:c r="Q52" s="59" t="n">
        <x:v>48</x:v>
      </x:c>
      <x:c r="R52" s="60" t="b">
        <x:v>0</x:v>
      </x:c>
      <x:c r="S52" s="59"/>
      <x:c r="T52" s="63" t="n">
        <x:v>64.92460139177965</x:v>
      </x:c>
    </x:row>
    <x:row r="53" ht="15" hidden="0">
      <x:c r="A53" s="59" t="str">
        <x:v>Peer 134</x:v>
      </x:c>
      <x:c r="B53" s="59" t="str">
        <x:v>Other peer</x:v>
      </x:c>
      <x:c r="C53" s="63" t="n">
        <x:v>14.59477</x:v>
      </x:c>
      <x:c r="D53" s="65" t="n">
        <x:v>0.09298248619197151</x:v>
      </x:c>
      <x:c r="E53" s="65" t="n">
        <x:v>0.055810266280318224</x:v>
      </x:c>
      <x:c r="F53" s="65" t="n">
        <x:v>0.11503682483519781</x:v>
      </x:c>
      <x:c r="G53" s="65" t="n">
        <x:v>0.07522596676044797</x:v>
      </x:c>
      <x:c r="H53" s="65" t="n">
        <x:v>0.6623539470575078</x:v>
      </x:c>
      <x:c r="I53" s="65" t="n">
        <x:v>0.0015116032875446713</x:v>
      </x:c>
      <x:c r="J53" s="65" t="n">
        <x:v>0.4452210136542467</x:v>
      </x:c>
      <x:c r="K53" s="65" t="n">
        <x:v>0.6275167785234899</x:v>
      </x:c>
      <x:c r="L53" s="65" t="n">
        <x:v>0.13851351351351351</x:v>
      </x:c>
      <x:c r="M53" s="65" t="n">
        <x:v>0.5285675512356728</x:v>
      </x:c>
      <x:c r="N53" s="63" t="n">
        <x:v>48.39524628829403</x:v>
      </x:c>
      <x:c r="O53" s="59" t="n">
        <x:v>85</x:v>
      </x:c>
      <x:c r="P53" s="63" t="n">
        <x:v>64.92152099913129</x:v>
      </x:c>
      <x:c r="Q53" s="59" t="n">
        <x:v>49</x:v>
      </x:c>
      <x:c r="R53" s="60" t="b">
        <x:v>0</x:v>
      </x:c>
      <x:c r="S53" s="59"/>
      <x:c r="T53" s="63" t="n">
        <x:v>64.92152099913129</x:v>
      </x:c>
    </x:row>
    <x:row r="54" ht="15" hidden="0">
      <x:c r="A54" s="59" t="str">
        <x:v>Peer 069</x:v>
      </x:c>
      <x:c r="B54" s="59" t="str">
        <x:v>Other peer</x:v>
      </x:c>
      <x:c r="C54" s="63" t="n">
        <x:v>12.512286</x:v>
      </x:c>
      <x:c r="D54" s="65" t="n">
        <x:v>0.08888136028859954</x:v>
      </x:c>
      <x:c r="E54" s="65" t="n">
        <x:v>0.08091071447695489</x:v>
      </x:c>
      <x:c r="F54" s="65" t="n">
        <x:v>0.1943780696828701</x:v>
      </x:c>
      <x:c r="G54" s="65" t="n">
        <x:v>0.10936338074775044</x:v>
      </x:c>
      <x:c r="H54" s="65" t="n">
        <x:v>0.539573957979344</x:v>
      </x:c>
      <x:c r="I54" s="65" t="n">
        <x:v>0.0028684570761265678</x:v>
      </x:c>
      <x:c r="J54" s="65" t="n">
        <x:v>0.6649155288127748</x:v>
      </x:c>
      <x:c r="K54" s="65" t="n">
        <x:v>0.5234899328859061</x:v>
      </x:c>
      <x:c r="L54" s="65" t="n">
        <x:v>0.23310810810810811</x:v>
      </x:c>
      <x:c r="M54" s="65" t="n">
        <x:v>0.5899801569146171</x:v>
      </x:c>
      <x:c r="N54" s="63" t="n">
        <x:v>54.826074033197855</x:v>
      </x:c>
      <x:c r="O54" s="59" t="n">
        <x:v>57</x:v>
      </x:c>
      <x:c r="P54" s="63" t="n">
        <x:v>64.00367642588218</x:v>
      </x:c>
      <x:c r="Q54" s="59" t="n">
        <x:v>50</x:v>
      </x:c>
      <x:c r="R54" s="60" t="b">
        <x:v>0</x:v>
      </x:c>
      <x:c r="S54" s="59"/>
      <x:c r="T54" s="63" t="n">
        <x:v>64.00367642588218</x:v>
      </x:c>
    </x:row>
    <x:row r="55" ht="15" hidden="0">
      <x:c r="A55" s="59" t="str">
        <x:v>Peer 033</x:v>
      </x:c>
      <x:c r="B55" s="59" t="str">
        <x:v>Other peer</x:v>
      </x:c>
      <x:c r="C55" s="63" t="n">
        <x:v>11.659908</x:v>
      </x:c>
      <x:c r="D55" s="65" t="n">
        <x:v>0.10350827810991305</x:v>
      </x:c>
      <x:c r="E55" s="65" t="n">
        <x:v>0.01665287582028949</x:v>
      </x:c>
      <x:c r="F55" s="65" t="n">
        <x:v>0.2103813340551229</x:v>
      </x:c>
      <x:c r="G55" s="65" t="n">
        <x:v>0.09375696517598436</x:v>
      </x:c>
      <x:c r="H55" s="65" t="n">
        <x:v>0.36895428489061166</x:v>
      </x:c>
      <x:c r="I55" s="65" t="n">
        <x:v>0.0025833335480385817</x:v>
      </x:c>
      <x:c r="J55" s="65" t="n">
        <x:v>0.6506595695440871</x:v>
      </x:c>
      <x:c r="K55" s="65" t="n">
        <x:v>0.6140939597315436</x:v>
      </x:c>
      <x:c r="L55" s="65" t="n">
        <x:v>0.45945945945945943</x:v>
      </x:c>
      <x:c r="M55" s="65" t="n">
        <x:v>0.6321124199844124</x:v>
      </x:c>
      <x:c r="N55" s="63" t="n">
        <x:v>58.72997717337527</x:v>
      </x:c>
      <x:c r="O55" s="59" t="n">
        <x:v>47</x:v>
      </x:c>
      <x:c r="P55" s="63" t="n">
        <x:v>63.98282271619406</x:v>
      </x:c>
      <x:c r="Q55" s="59" t="n">
        <x:v>51</x:v>
      </x:c>
      <x:c r="R55" s="60" t="b">
        <x:v>0</x:v>
      </x:c>
      <x:c r="S55" s="59"/>
      <x:c r="T55" s="63" t="n">
        <x:v>63.98282271619406</x:v>
      </x:c>
    </x:row>
    <x:row r="56" ht="15" hidden="0">
      <x:c r="A56" s="59" t="str">
        <x:v>Peer 054</x:v>
      </x:c>
      <x:c r="B56" s="59" t="str">
        <x:v>Other peer</x:v>
      </x:c>
      <x:c r="C56" s="63" t="n">
        <x:v>12.304953</x:v>
      </x:c>
      <x:c r="D56" s="65" t="n">
        <x:v>0.11127722308244493</x:v>
      </x:c>
      <x:c r="E56" s="65" t="n">
        <x:v>0.018152608953484015</x:v>
      </x:c>
      <x:c r="F56" s="65" t="n">
        <x:v>0.2745834949552428</x:v>
      </x:c>
      <x:c r="G56" s="65" t="n">
        <x:v>0.09714510235813333</x:v>
      </x:c>
      <x:c r="H56" s="65" t="n">
        <x:v>0.3397075000344372</x:v>
      </x:c>
      <x:c r="I56" s="65" t="n">
        <x:v>0.0020370249341428804</x:v>
      </x:c>
      <x:c r="J56" s="65" t="n">
        <x:v>0.7651238139319602</x:v>
      </x:c>
      <x:c r="K56" s="65" t="n">
        <x:v>0.5436241610738255</x:v>
      </x:c>
      <x:c r="L56" s="65" t="n">
        <x:v>0.21283783783783783</x:v>
      </x:c>
      <x:c r="M56" s="65" t="n">
        <x:v>0.6449339434906242</x:v>
      </x:c>
      <x:c r="N56" s="63" t="n">
        <x:v>55.508326314928084</x:v>
      </x:c>
      <x:c r="O56" s="59" t="n">
        <x:v>55</x:v>
      </x:c>
      <x:c r="P56" s="63" t="n">
        <x:v>63.27170860517154</x:v>
      </x:c>
      <x:c r="Q56" s="59" t="n">
        <x:v>52</x:v>
      </x:c>
      <x:c r="R56" s="60" t="b">
        <x:v>0</x:v>
      </x:c>
      <x:c r="S56" s="59"/>
      <x:c r="T56" s="63" t="n">
        <x:v>63.27170860517154</x:v>
      </x:c>
    </x:row>
    <x:row r="57" ht="15" hidden="0">
      <x:c r="A57" s="59" t="str">
        <x:v>Peer 055</x:v>
      </x:c>
      <x:c r="B57" s="59" t="str">
        <x:v>Other peer</x:v>
      </x:c>
      <x:c r="C57" s="63" t="n">
        <x:v>176.980258</x:v>
      </x:c>
      <x:c r="D57" s="65" t="n">
        <x:v>0.10475948678976386</x:v>
      </x:c>
      <x:c r="E57" s="65" t="n">
        <x:v>0.10913252821679127</x:v>
      </x:c>
      <x:c r="F57" s="65" t="n">
        <x:v>0.25391398175043906</x:v>
      </x:c>
      <x:c r="G57" s="65" t="n">
        <x:v>0.007383405317728172</x:v>
      </x:c>
      <x:c r="H57" s="65" t="n">
        <x:v>0.5833676991595924</x:v>
      </x:c>
      <x:c r="I57" s="65" t="n">
        <x:v>0.0044812425144238706</x:v>
      </x:c>
      <x:c r="J57" s="65" t="n">
        <x:v>0.5107845406155982</x:v>
      </x:c>
      <x:c r="K57" s="65" t="n">
        <x:v>0.5335570469798658</x:v>
      </x:c>
      <x:c r="L57" s="65" t="n">
        <x:v>0.6013513513513513</x:v>
      </x:c>
      <x:c r="M57" s="65" t="n">
        <x:v>0.5220466369337379</x:v>
      </x:c>
      <x:c r="N57" s="63" t="n">
        <x:v>52.319148486623014</x:v>
      </x:c>
      <x:c r="O57" s="59" t="n">
        <x:v>69</x:v>
      </x:c>
      <x:c r="P57" s="63" t="n">
        <x:v>63.094530504457204</x:v>
      </x:c>
      <x:c r="Q57" s="59" t="n">
        <x:v>53</x:v>
      </x:c>
      <x:c r="R57" s="60" t="b">
        <x:v>0</x:v>
      </x:c>
      <x:c r="S57" s="59"/>
      <x:c r="T57" s="63" t="n">
        <x:v>63.094530504457204</x:v>
      </x:c>
    </x:row>
    <x:row r="58" ht="15" hidden="0">
      <x:c r="A58" s="59" t="str">
        <x:v>Peer 095</x:v>
      </x:c>
      <x:c r="B58" s="59" t="str">
        <x:v>Other peer</x:v>
      </x:c>
      <x:c r="C58" s="63" t="n">
        <x:v>64.087895</x:v>
      </x:c>
      <x:c r="D58" s="65" t="n">
        <x:v>0.09190152056016195</x:v>
      </x:c>
      <x:c r="E58" s="65" t="n">
        <x:v>0.05635084441453413</x:v>
      </x:c>
      <x:c r="F58" s="65" t="n">
        <x:v>0.1413810673606927</x:v>
      </x:c>
      <x:c r="G58" s="65" t="n">
        <x:v>0.09688842103475939</x:v>
      </x:c>
      <x:c r="H58" s="65" t="n">
        <x:v>0.551530767909054</x:v>
      </x:c>
      <x:c r="I58" s="65" t="n">
        <x:v>0.00206227624190882</x:v>
      </x:c>
      <x:c r="J58" s="65" t="n">
        <x:v>0.5234205045128443</x:v>
      </x:c>
      <x:c r="K58" s="65" t="n">
        <x:v>0.5738255033557047</x:v>
      </x:c>
      <x:c r="L58" s="65" t="n">
        <x:v>0.2736486486486487</x:v>
      </x:c>
      <x:c r="M58" s="65" t="n">
        <x:v>0.548043825317629</x:v>
      </x:c>
      <x:c r="N58" s="63" t="n">
        <x:v>51.58759493175753</x:v>
      </x:c>
      <x:c r="O58" s="59" t="n">
        <x:v>73</x:v>
      </x:c>
      <x:c r="P58" s="63" t="n">
        <x:v>62.86626392918389</x:v>
      </x:c>
      <x:c r="Q58" s="59" t="n">
        <x:v>54</x:v>
      </x:c>
      <x:c r="R58" s="60" t="b">
        <x:v>0</x:v>
      </x:c>
      <x:c r="S58" s="59"/>
      <x:c r="T58" s="63" t="n">
        <x:v>62.86626392918389</x:v>
      </x:c>
    </x:row>
    <x:row r="59" ht="15" hidden="0">
      <x:c r="A59" s="59" t="str">
        <x:v>Peer 044</x:v>
      </x:c>
      <x:c r="B59" s="59" t="str">
        <x:v>Other peer</x:v>
      </x:c>
      <x:c r="C59" s="63" t="n">
        <x:v>22.808174</x:v>
      </x:c>
      <x:c r="D59" s="65" t="n">
        <x:v>0.1549980721823676</x:v>
      </x:c>
      <x:c r="E59" s="65" t="n">
        <x:v>0.03165610714825308</x:v>
      </x:c>
      <x:c r="F59" s="65" t="n">
        <x:v>0.23349462346262354</x:v>
      </x:c>
      <x:c r="G59" s="65" t="n">
        <x:v>0.045132937865588675</x:v>
      </x:c>
      <x:c r="H59" s="65" t="n">
        <x:v>0.519280341788138</x:v>
      </x:c>
      <x:c r="I59" s="65" t="n">
        <x:v>0.004223469549213435</x:v>
      </x:c>
      <x:c r="J59" s="65" t="n">
        <x:v>0.5773200647998149</x:v>
      </x:c>
      <x:c r="K59" s="65" t="n">
        <x:v>0.651006711409396</x:v>
      </x:c>
      <x:c r="L59" s="65" t="n">
        <x:v>0.5304054054054054</x:v>
      </x:c>
      <x:c r="M59" s="65" t="n">
        <x:v>0.6130572867326405</x:v>
      </x:c>
      <x:c r="N59" s="63" t="n">
        <x:v>54.484502289036676</x:v>
      </x:c>
      <x:c r="O59" s="59" t="n">
        <x:v>59</x:v>
      </x:c>
      <x:c r="P59" s="63" t="n">
        <x:v>62.63985639972659</x:v>
      </x:c>
      <x:c r="Q59" s="59" t="n">
        <x:v>55</x:v>
      </x:c>
      <x:c r="R59" s="60" t="b">
        <x:v>0</x:v>
      </x:c>
      <x:c r="S59" s="59"/>
      <x:c r="T59" s="63" t="n">
        <x:v>62.63985639972659</x:v>
      </x:c>
    </x:row>
    <x:row r="60" ht="15" hidden="0">
      <x:c r="A60" s="59" t="str">
        <x:v>Peer 015</x:v>
      </x:c>
      <x:c r="B60" s="59" t="str">
        <x:v>Other peer</x:v>
      </x:c>
      <x:c r="C60" s="63" t="n">
        <x:v>46.490438</x:v>
      </x:c>
      <x:c r="D60" s="65" t="n">
        <x:v>0.10755228849424908</x:v>
      </x:c>
      <x:c r="E60" s="65" t="n">
        <x:v>0.015749797840149408</x:v>
      </x:c>
      <x:c r="F60" s="65" t="n">
        <x:v>0.21226379927846667</x:v>
      </x:c>
      <x:c r="G60" s="65" t="n">
        <x:v>0.09335754325917626</x:v>
      </x:c>
      <x:c r="H60" s="65" t="n">
        <x:v>0.3382248365751162</x:v>
      </x:c>
      <x:c r="I60" s="65" t="n">
        <x:v>0.007734819796279926</x:v>
      </x:c>
      <x:c r="J60" s="65" t="n">
        <x:v>0.6470261513538533</x:v>
      </x:c>
      <x:c r="K60" s="65" t="n">
        <x:v>0.5738255033557047</x:v>
      </x:c>
      <x:c r="L60" s="65" t="n">
        <x:v>0.6385135135135135</x:v>
      </x:c>
      <x:c r="M60" s="65" t="n">
        <x:v>0.6093275859379167</x:v>
      </x:c>
      <x:c r="N60" s="63" t="n">
        <x:v>59.27420061581681</x:v>
      </x:c>
      <x:c r="O60" s="59" t="n">
        <x:v>44</x:v>
      </x:c>
      <x:c r="P60" s="63" t="n">
        <x:v>62.4991146577677</x:v>
      </x:c>
      <x:c r="Q60" s="59" t="n">
        <x:v>56</x:v>
      </x:c>
      <x:c r="R60" s="60" t="b">
        <x:v>0</x:v>
      </x:c>
      <x:c r="S60" s="59"/>
      <x:c r="T60" s="63" t="n">
        <x:v>62.4991146577677</x:v>
      </x:c>
    </x:row>
    <x:row r="61" ht="15" hidden="0">
      <x:c r="A61" s="59" t="str">
        <x:v>Peer 081</x:v>
      </x:c>
      <x:c r="B61" s="59" t="str">
        <x:v>Other peer</x:v>
      </x:c>
      <x:c r="C61" s="63" t="n">
        <x:v>11.353376</x:v>
      </x:c>
      <x:c r="D61" s="65" t="n">
        <x:v>0.0503610556014352</x:v>
      </x:c>
      <x:c r="E61" s="65" t="n">
        <x:v>0.4029271998038293</x:v>
      </x:c>
      <x:c r="F61" s="65" t="n">
        <x:v>0.5049193297218378</x:v>
      </x:c>
      <x:c r="G61" s="65" t="n">
        <x:v>0</x:v>
      </x:c>
      <x:c r="H61" s="65" t="n">
        <x:v>0.588780439976317</x:v>
      </x:c>
      <x:c r="I61" s="65" t="n">
        <x:v>0.0056324770753628465</x:v>
      </x:c>
      <x:c r="J61" s="65" t="n">
        <x:v>0.4990164313816246</x:v>
      </x:c>
      <x:c r="K61" s="65" t="n">
        <x:v>0.4563758389261745</x:v>
      </x:c>
      <x:c r="L61" s="65" t="n">
        <x:v>0.45608108108108103</x:v>
      </x:c>
      <x:c r="M61" s="65" t="n">
        <x:v>0.47722011955672483</x:v>
      </x:c>
      <x:c r="N61" s="63" t="n">
        <x:v>52.24749301535279</x:v>
      </x:c>
      <x:c r="O61" s="59" t="n">
        <x:v>70</x:v>
      </x:c>
      <x:c r="P61" s="63" t="n">
        <x:v>62.29107717862738</x:v>
      </x:c>
      <x:c r="Q61" s="59" t="n">
        <x:v>57</x:v>
      </x:c>
      <x:c r="R61" s="60" t="b">
        <x:v>0</x:v>
      </x:c>
      <x:c r="S61" s="59"/>
      <x:c r="T61" s="63" t="n">
        <x:v>62.29107717862738</x:v>
      </x:c>
    </x:row>
    <x:row r="62" ht="15" hidden="0">
      <x:c r="A62" s="59" t="str">
        <x:v>Peer 034</x:v>
      </x:c>
      <x:c r="B62" s="59" t="str">
        <x:v>Other peer</x:v>
      </x:c>
      <x:c r="C62" s="63" t="n">
        <x:v>26.819331</x:v>
      </x:c>
      <x:c r="D62" s="65" t="n">
        <x:v>0.10099435366228934</x:v>
      </x:c>
      <x:c r="E62" s="65" t="n">
        <x:v>0.02223459638124456</x:v>
      </x:c>
      <x:c r="F62" s="65" t="n">
        <x:v>0.15106383526121514</x:v>
      </x:c>
      <x:c r="G62" s="65" t="n">
        <x:v>0.10323225901489366</x:v>
      </x:c>
      <x:c r="H62" s="65" t="n">
        <x:v>0.35629146898617325</x:v>
      </x:c>
      <x:c r="I62" s="65" t="n">
        <x:v>0.00884213091756543</x:v>
      </x:c>
      <x:c r="J62" s="65" t="n">
        <x:v>0.5538995602869706</x:v>
      </x:c>
      <x:c r="K62" s="65" t="n">
        <x:v>0.5402684563758389</x:v>
      </x:c>
      <x:c r="L62" s="65" t="n">
        <x:v>0.8310810810810811</x:v>
      </x:c>
      <x:c r="M62" s="65" t="n">
        <x:v>0.5470415527393668</x:v>
      </x:c>
      <x:c r="N62" s="63" t="n">
        <x:v>58.25550069684618</x:v>
      </x:c>
      <x:c r="O62" s="59" t="n">
        <x:v>48</x:v>
      </x:c>
      <x:c r="P62" s="63" t="n">
        <x:v>62.256268860100164</x:v>
      </x:c>
      <x:c r="Q62" s="59" t="n">
        <x:v>58</x:v>
      </x:c>
      <x:c r="R62" s="60" t="b">
        <x:v>0</x:v>
      </x:c>
      <x:c r="S62" s="59"/>
      <x:c r="T62" s="63" t="n">
        <x:v>62.256268860100164</x:v>
      </x:c>
    </x:row>
    <x:row r="63" ht="15" hidden="0">
      <x:c r="A63" s="59" t="str">
        <x:v>Peer 138</x:v>
      </x:c>
      <x:c r="B63" s="59" t="str">
        <x:v>Other peer</x:v>
      </x:c>
      <x:c r="C63" s="63" t="n">
        <x:v>10.891835</x:v>
      </x:c>
      <x:c r="D63" s="65" t="n">
        <x:v>0.13030292875351124</x:v>
      </x:c>
      <x:c r="E63" s="65" t="n">
        <x:v>0.03405642850814394</x:v>
      </x:c>
      <x:c r="F63" s="65" t="n">
        <x:v>0.1659578941473131</x:v>
      </x:c>
      <x:c r="G63" s="65" t="n">
        <x:v>0.0007412428359443589</x:v>
      </x:c>
      <x:c r="H63" s="65" t="n">
        <x:v>0.6346431043381455</x:v>
      </x:c>
      <x:c r="I63" s="65" t="n">
        <x:v>0.005809084005405202</x:v>
      </x:c>
      <x:c r="J63" s="65" t="n">
        <x:v>0.28754917843091876</x:v>
      </x:c>
      <x:c r="K63" s="65" t="n">
        <x:v>0.7181208053691275</x:v>
      </x:c>
      <x:c r="L63" s="65" t="n">
        <x:v>0.5</x:v>
      </x:c>
      <x:c r="M63" s="65" t="n">
        <x:v>0.4544172615537864</x:v>
      </x:c>
      <x:c r="N63" s="63" t="n">
        <x:v>45.934634299377144</x:v>
      </x:c>
      <x:c r="O63" s="59" t="n">
        <x:v>95</x:v>
      </x:c>
      <x:c r="P63" s="63" t="n">
        <x:v>61.961291308372644</x:v>
      </x:c>
      <x:c r="Q63" s="59" t="n">
        <x:v>59</x:v>
      </x:c>
      <x:c r="R63" s="60" t="b">
        <x:v>0</x:v>
      </x:c>
      <x:c r="S63" s="59"/>
      <x:c r="T63" s="63" t="n">
        <x:v>61.961291308372644</x:v>
      </x:c>
    </x:row>
    <x:row r="64" ht="15" hidden="0">
      <x:c r="A64" s="59" t="str">
        <x:v>Peer 014</x:v>
      </x:c>
      <x:c r="B64" s="59" t="str">
        <x:v>Other peer</x:v>
      </x:c>
      <x:c r="C64" s="63" t="n">
        <x:v>91.580361</x:v>
      </x:c>
      <x:c r="D64" s="65" t="n">
        <x:v>0.10042396535213483</x:v>
      </x:c>
      <x:c r="E64" s="65" t="n">
        <x:v>0.033911626533116634</x:v>
      </x:c>
      <x:c r="F64" s="65" t="n">
        <x:v>0.21987412781655227</x:v>
      </x:c>
      <x:c r="G64" s="65" t="n">
        <x:v>0.009569241164079534</x:v>
      </x:c>
      <x:c r="H64" s="65" t="n">
        <x:v>0.5080160206451098</x:v>
      </x:c>
      <x:c r="I64" s="65" t="n">
        <x:v>0.008147853081973156</x:v>
      </x:c>
      <x:c r="J64" s="65" t="n">
        <x:v>0.4777829206202268</x:v>
      </x:c>
      <x:c r="K64" s="65" t="n">
        <x:v>0.6241610738255033</x:v>
      </x:c>
      <x:c r="L64" s="65" t="n">
        <x:v>0.8547297297297297</x:v>
      </x:c>
      <x:c r="M64" s="65" t="n">
        <x:v>0.5460892791383164</x:v>
      </x:c>
      <x:c r="N64" s="63" t="n">
        <x:v>58.89819117328915</x:v>
      </x:c>
      <x:c r="O64" s="59" t="n">
        <x:v>46</x:v>
      </x:c>
      <x:c r="P64" s="63" t="n">
        <x:v>61.92362215087807</x:v>
      </x:c>
      <x:c r="Q64" s="59" t="n">
        <x:v>60</x:v>
      </x:c>
      <x:c r="R64" s="60" t="b">
        <x:v>0</x:v>
      </x:c>
      <x:c r="S64" s="59"/>
      <x:c r="T64" s="63" t="n">
        <x:v>61.92362215087807</x:v>
      </x:c>
    </x:row>
    <x:row r="65" ht="15" hidden="0">
      <x:c r="A65" s="59" t="str">
        <x:v>Peer 093</x:v>
      </x:c>
      <x:c r="B65" s="59" t="str">
        <x:v>Other peer</x:v>
      </x:c>
      <x:c r="C65" s="63" t="n">
        <x:v>18.626645</x:v>
      </x:c>
      <x:c r="D65" s="65" t="n">
        <x:v>0.07859848083216274</x:v>
      </x:c>
      <x:c r="E65" s="65" t="n">
        <x:v>0.0257576176493405</x:v>
      </x:c>
      <x:c r="F65" s="65" t="n">
        <x:v>0.3239247862403562</x:v>
      </x:c>
      <x:c r="G65" s="65" t="n">
        <x:v>0.004779286706656849</x:v>
      </x:c>
      <x:c r="H65" s="65" t="n">
        <x:v>0.45395792949995994</x:v>
      </x:c>
      <x:c r="I65" s="65" t="n">
        <x:v>0.014738527388924519</x:v>
      </x:c>
      <x:c r="J65" s="65" t="n">
        <x:v>0.5437861606109697</x:v>
      </x:c>
      <x:c r="K65" s="65" t="n">
        <x:v>0.6208053691275168</x:v>
      </x:c>
      <x:c r="L65" s="65" t="n">
        <x:v>0.9290540540540541</x:v>
      </x:c>
      <x:c r="M65" s="65" t="n">
        <x:v>0.5810209705032412</x:v>
      </x:c>
      <x:c r="N65" s="63" t="n">
        <x:v>65.51990574327264</x:v>
      </x:c>
      <x:c r="O65" s="59" t="n">
        <x:v>25</x:v>
      </x:c>
      <x:c r="P65" s="63" t="n">
        <x:v>61.62625436443601</x:v>
      </x:c>
      <x:c r="Q65" s="59" t="n">
        <x:v>61</x:v>
      </x:c>
      <x:c r="R65" s="60" t="b">
        <x:v>0</x:v>
      </x:c>
      <x:c r="S65" s="59"/>
      <x:c r="T65" s="63" t="n">
        <x:v>61.62625436443601</x:v>
      </x:c>
    </x:row>
    <x:row r="66" ht="15" hidden="0">
      <x:c r="A66" s="59" t="str">
        <x:v>Peer 046</x:v>
      </x:c>
      <x:c r="B66" s="59" t="str">
        <x:v>Other peer</x:v>
      </x:c>
      <x:c r="C66" s="63" t="n">
        <x:v>13.778066</x:v>
      </x:c>
      <x:c r="D66" s="65" t="n">
        <x:v>0.112099695269278</x:v>
      </x:c>
      <x:c r="E66" s="65" t="n">
        <x:v>0.013535281366775278</x:v>
      </x:c>
      <x:c r="F66" s="65" t="n">
        <x:v>0.1590564307066028</x:v>
      </x:c>
      <x:c r="G66" s="65" t="n">
        <x:v>0.009388048172988708</x:v>
      </x:c>
      <x:c r="H66" s="65" t="n">
        <x:v>0.49846195637113694</x:v>
      </x:c>
      <x:c r="I66" s="65" t="n">
        <x:v>0.005704914379449936</x:v>
      </x:c>
      <x:c r="J66" s="65" t="n">
        <x:v>0.35688498032862764</x:v>
      </x:c>
      <x:c r="K66" s="65" t="n">
        <x:v>0.8120805369127517</x:v>
      </x:c>
      <x:c r="L66" s="65" t="n">
        <x:v>0.46621621621621623</x:v>
      </x:c>
      <x:c r="M66" s="65" t="n">
        <x:v>0.5383487219650185</x:v>
      </x:c>
      <x:c r="N66" s="63" t="n">
        <x:v>53.240887865821975</x:v>
      </x:c>
      <x:c r="O66" s="59" t="n">
        <x:v>61</x:v>
      </x:c>
      <x:c r="P66" s="63" t="n">
        <x:v>60.84198053773855</x:v>
      </x:c>
      <x:c r="Q66" s="59" t="n">
        <x:v>62</x:v>
      </x:c>
      <x:c r="R66" s="60" t="b">
        <x:v>0</x:v>
      </x:c>
      <x:c r="S66" s="59"/>
      <x:c r="T66" s="63" t="n">
        <x:v>60.84198053773855</x:v>
      </x:c>
    </x:row>
    <x:row r="67" ht="15" hidden="0">
      <x:c r="A67" s="59" t="str">
        <x:v>Peer 102</x:v>
      </x:c>
      <x:c r="B67" s="59" t="str">
        <x:v>Other peer</x:v>
      </x:c>
      <x:c r="C67" s="63" t="n">
        <x:v>50.933929</x:v>
      </x:c>
      <x:c r="D67" s="65" t="n">
        <x:v>0.16165452305868647</x:v>
      </x:c>
      <x:c r="E67" s="65" t="n">
        <x:v>0.1360068256269804</x:v>
      </x:c>
      <x:c r="F67" s="65" t="n">
        <x:v>0.15300307973492483</x:v>
      </x:c>
      <x:c r="G67" s="65" t="n">
        <x:v>0.02368254855046941</x:v>
      </x:c>
      <x:c r="H67" s="65" t="n">
        <x:v>0.7316865844292662</x:v>
      </x:c>
      <x:c r="I67" s="65" t="n">
        <x:v>0.005049939301217673</x:v>
      </x:c>
      <x:c r="J67" s="65" t="n">
        <x:v>0.3882897477435779</x:v>
      </x:c>
      <x:c r="K67" s="65" t="n">
        <x:v>0.5536912751677853</x:v>
      </x:c>
      <x:c r="L67" s="65" t="n">
        <x:v>0.4695945945945946</x:v>
      </x:c>
      <x:c r="M67" s="65" t="n">
        <x:v>0.4636729942132918</x:v>
      </x:c>
      <x:c r="N67" s="63" t="n">
        <x:v>42.603272105666086</x:v>
      </x:c>
      <x:c r="O67" s="59" t="n">
        <x:v>104</x:v>
      </x:c>
      <x:c r="P67" s="63" t="n">
        <x:v>60.453763336294585</x:v>
      </x:c>
      <x:c r="Q67" s="59" t="n">
        <x:v>63</x:v>
      </x:c>
      <x:c r="R67" s="60" t="b">
        <x:v>0</x:v>
      </x:c>
      <x:c r="S67" s="59"/>
      <x:c r="T67" s="63" t="n">
        <x:v>60.453763336294585</x:v>
      </x:c>
    </x:row>
    <x:row r="68" ht="15" hidden="0">
      <x:c r="A68" s="59" t="str">
        <x:v>Peer 129</x:v>
      </x:c>
      <x:c r="B68" s="59" t="str">
        <x:v>Other peer</x:v>
      </x:c>
      <x:c r="C68" s="63" t="n">
        <x:v>12.148275</x:v>
      </x:c>
      <x:c r="D68" s="65" t="n">
        <x:v>0.13579779845286677</x:v>
      </x:c>
      <x:c r="E68" s="65" t="n">
        <x:v>0.03589225630799434</x:v>
      </x:c>
      <x:c r="F68" s="65" t="n">
        <x:v>0.10637329168132924</x:v>
      </x:c>
      <x:c r="G68" s="65" t="n">
        <x:v>0.022536701927430836</x:v>
      </x:c>
      <x:c r="H68" s="65" t="n">
        <x:v>0.578163237267571</x:v>
      </x:c>
      <x:c r="I68" s="65" t="n">
        <x:v>0.004805808345150291</x:v>
      </x:c>
      <x:c r="J68" s="65" t="n">
        <x:v>0.3007637121036797</x:v>
      </x:c>
      <x:c r="K68" s="65" t="n">
        <x:v>0.6845637583892618</x:v>
      </x:c>
      <x:c r="L68" s="65" t="n">
        <x:v>0.5777027027027027</x:v>
      </x:c>
      <x:c r="M68" s="65" t="n">
        <x:v>0.45375316764161644</x:v>
      </x:c>
      <x:c r="N68" s="63" t="n">
        <x:v>46.27304148029785</x:v>
      </x:c>
      <x:c r="O68" s="59" t="n">
        <x:v>92</x:v>
      </x:c>
      <x:c r="P68" s="63" t="n">
        <x:v>60.384312807100294</x:v>
      </x:c>
      <x:c r="Q68" s="59" t="n">
        <x:v>64</x:v>
      </x:c>
      <x:c r="R68" s="60" t="b">
        <x:v>0</x:v>
      </x:c>
      <x:c r="S68" s="59"/>
      <x:c r="T68" s="63" t="n">
        <x:v>60.384312807100294</x:v>
      </x:c>
    </x:row>
    <x:row r="69" ht="15" hidden="0">
      <x:c r="A69" s="59" t="str">
        <x:v>Peer 043</x:v>
      </x:c>
      <x:c r="B69" s="59" t="str">
        <x:v>Other peer</x:v>
      </x:c>
      <x:c r="C69" s="63" t="n">
        <x:v>109.180139</x:v>
      </x:c>
      <x:c r="D69" s="65" t="n">
        <x:v>0.09099286821754275</x:v>
      </x:c>
      <x:c r="E69" s="65" t="n">
        <x:v>0.05050770268757397</x:v>
      </x:c>
      <x:c r="F69" s="65" t="n">
        <x:v>0.17649636808027877</x:v>
      </x:c>
      <x:c r="G69" s="65" t="n">
        <x:v>0.14964476727530632</x:v>
      </x:c>
      <x:c r="H69" s="65" t="n">
        <x:v>0.3219845710802665</x:v>
      </x:c>
      <x:c r="I69" s="65" t="n">
        <x:v>0.009735242363580218</x:v>
      </x:c>
      <x:c r="J69" s="65" t="n">
        <x:v>0.655774126359639</x:v>
      </x:c>
      <x:c r="K69" s="65" t="n">
        <x:v>0.3087248322147651</x:v>
      </x:c>
      <x:c r="L69" s="65" t="n">
        <x:v>0.8885135135135136</x:v>
      </x:c>
      <x:c r="M69" s="65" t="n">
        <x:v>0.44994861610095405</x:v>
      </x:c>
      <x:c r="N69" s="63" t="n">
        <x:v>55.632590356621556</x:v>
      </x:c>
      <x:c r="O69" s="59" t="n">
        <x:v>53</x:v>
      </x:c>
      <x:c r="P69" s="63" t="n">
        <x:v>59.96178983172968</x:v>
      </x:c>
      <x:c r="Q69" s="59" t="n">
        <x:v>65</x:v>
      </x:c>
      <x:c r="R69" s="60" t="b">
        <x:v>0</x:v>
      </x:c>
      <x:c r="S69" s="59"/>
      <x:c r="T69" s="63" t="n">
        <x:v>59.96178983172968</x:v>
      </x:c>
    </x:row>
    <x:row r="70" ht="15" hidden="0">
      <x:c r="A70" s="59" t="str">
        <x:v>Peer 002</x:v>
      </x:c>
      <x:c r="B70" s="59" t="str">
        <x:v>Other peer</x:v>
      </x:c>
      <x:c r="C70" s="63" t="n">
        <x:v>12.140146</x:v>
      </x:c>
      <x:c r="D70" s="65" t="n">
        <x:v>0.12952834339883557</x:v>
      </x:c>
      <x:c r="E70" s="65" t="n">
        <x:v>0.016900620470297473</x:v>
      </x:c>
      <x:c r="F70" s="65" t="n">
        <x:v>0.21641996727222226</x:v>
      </x:c>
      <x:c r="G70" s="65" t="n">
        <x:v>0.08768687682552483</x:v>
      </x:c>
      <x:c r="H70" s="65" t="n">
        <x:v>0.3481275112357739</x:v>
      </x:c>
      <x:c r="I70" s="65" t="n">
        <x:v>0.003778408480738843</x:v>
      </x:c>
      <x:c r="J70" s="65" t="n">
        <x:v>0.6468410090256885</x:v>
      </x:c>
      <x:c r="K70" s="65" t="n">
        <x:v>0.5771812080536913</x:v>
      </x:c>
      <x:c r="L70" s="65" t="n">
        <x:v>0.3716216216216216</x:v>
      </x:c>
      <x:c r="M70" s="65" t="n">
        <x:v>0.6110192100156226</x:v>
      </x:c>
      <x:c r="N70" s="63" t="n">
        <x:v>53.046485883491776</x:v>
      </x:c>
      <x:c r="O70" s="59" t="n">
        <x:v>64</x:v>
      </x:c>
      <x:c r="P70" s="63" t="n">
        <x:v>59.693396265837826</x:v>
      </x:c>
      <x:c r="Q70" s="59" t="n">
        <x:v>66</x:v>
      </x:c>
      <x:c r="R70" s="60" t="b">
        <x:v>0</x:v>
      </x:c>
      <x:c r="S70" s="59"/>
      <x:c r="T70" s="63" t="n">
        <x:v>59.693396265837826</x:v>
      </x:c>
    </x:row>
    <x:row r="71" ht="15" hidden="0">
      <x:c r="A71" s="59" t="str">
        <x:v>Peer 041</x:v>
      </x:c>
      <x:c r="B71" s="59" t="str">
        <x:v>Other peer</x:v>
      </x:c>
      <x:c r="C71" s="63" t="n">
        <x:v>57.451653</x:v>
      </x:c>
      <x:c r="D71" s="65" t="n">
        <x:v>0.12449488616106485</x:v>
      </x:c>
      <x:c r="E71" s="65" t="n">
        <x:v>0.016467898669512607</x:v>
      </x:c>
      <x:c r="F71" s="65" t="n">
        <x:v>0.08915398831083242</x:v>
      </x:c>
      <x:c r="G71" s="65" t="n">
        <x:v>0.07426517702987108</x:v>
      </x:c>
      <x:c r="H71" s="65" t="n">
        <x:v>0.49624408123771796</x:v>
      </x:c>
      <x:c r="I71" s="65" t="n">
        <x:v>0.006313965956297558</x:v>
      </x:c>
      <x:c r="J71" s="65" t="n">
        <x:v>0.39479287202036567</x:v>
      </x:c>
      <x:c r="K71" s="65" t="n">
        <x:v>0.7550335570469799</x:v>
      </x:c>
      <x:c r="L71" s="65" t="n">
        <x:v>0.5371621621621622</x:v>
      </x:c>
      <x:c r="M71" s="65" t="n">
        <x:v>0.5459687412831707</x:v>
      </x:c>
      <x:c r="N71" s="63" t="n">
        <x:v>52.74175642370036</x:v>
      </x:c>
      <x:c r="O71" s="59" t="n">
        <x:v>66</x:v>
      </x:c>
      <x:c r="P71" s="63" t="n">
        <x:v>59.335803548994484</x:v>
      </x:c>
      <x:c r="Q71" s="59" t="n">
        <x:v>67</x:v>
      </x:c>
      <x:c r="R71" s="60" t="b">
        <x:v>0</x:v>
      </x:c>
      <x:c r="S71" s="59"/>
      <x:c r="T71" s="63" t="n">
        <x:v>59.335803548994484</x:v>
      </x:c>
    </x:row>
    <x:row r="72" ht="15" hidden="0">
      <x:c r="A72" s="59" t="str">
        <x:v>Peer 030</x:v>
      </x:c>
      <x:c r="B72" s="59" t="str">
        <x:v>Other peer</x:v>
      </x:c>
      <x:c r="C72" s="63" t="n">
        <x:v>206.289179</x:v>
      </x:c>
      <x:c r="D72" s="65" t="n">
        <x:v>0.09443545751859335</x:v>
      </x:c>
      <x:c r="E72" s="65" t="n">
        <x:v>0.056535195188304084</x:v>
      </x:c>
      <x:c r="F72" s="65" t="n">
        <x:v>0.24551365343307707</x:v>
      </x:c>
      <x:c r="G72" s="65" t="n">
        <x:v>0.0015050552042647884</x:v>
      </x:c>
      <x:c r="H72" s="65" t="n">
        <x:v>0.5211175743840859</x:v>
      </x:c>
      <x:c r="I72" s="65" t="n">
        <x:v>0.006247422260588087</x:v>
      </x:c>
      <x:c r="J72" s="65" t="n">
        <x:v>0.44218930803054846</x:v>
      </x:c>
      <x:c r="K72" s="65" t="n">
        <x:v>0.5302013422818792</x:v>
      </x:c>
      <x:c r="L72" s="65" t="n">
        <x:v>0.7094594594594594</x:v>
      </x:c>
      <x:c r="M72" s="65" t="n">
        <x:v>0.4841997156757655</x:v>
      </x:c>
      <x:c r="N72" s="63" t="n">
        <x:v>53.14557265364258</x:v>
      </x:c>
      <x:c r="O72" s="59" t="n">
        <x:v>62</x:v>
      </x:c>
      <x:c r="P72" s="63" t="n">
        <x:v>58.90532539928749</x:v>
      </x:c>
      <x:c r="Q72" s="59" t="n">
        <x:v>68</x:v>
      </x:c>
      <x:c r="R72" s="60" t="b">
        <x:v>0</x:v>
      </x:c>
      <x:c r="S72" s="59"/>
      <x:c r="T72" s="63" t="n">
        <x:v>58.90532539928749</x:v>
      </x:c>
    </x:row>
    <x:row r="73" ht="15" hidden="0">
      <x:c r="A73" s="59" t="str">
        <x:v>Peer 112</x:v>
      </x:c>
      <x:c r="B73" s="59" t="str">
        <x:v>Other peer</x:v>
      </x:c>
      <x:c r="C73" s="63" t="n">
        <x:v>209.664</x:v>
      </x:c>
      <x:c r="D73" s="65" t="n">
        <x:v>0.07617425976800977</x:v>
      </x:c>
      <x:c r="E73" s="65" t="n">
        <x:v>0.1275564713064713</x:v>
      </x:c>
      <x:c r="F73" s="65" t="n">
        <x:v>0.23543860653235654</x:v>
      </x:c>
      <x:c r="G73" s="65" t="n">
        <x:v>0.33873896437292594</x:v>
      </x:c>
      <x:c r="H73" s="65" t="n">
        <x:v>0.29792213871479467</x:v>
      </x:c>
      <x:c r="I73" s="65" t="n">
        <x:v>0.000954845068687242</x:v>
      </x:c>
      <x:c r="J73" s="65" t="n">
        <x:v>0.8013654246702152</x:v>
      </x:c>
      <x:c r="K73" s="65" t="n">
        <x:v>0.19798657718120805</x:v>
      </x:c>
      <x:c r="L73" s="65" t="n">
        <x:v>0.13175675675675677</x:v>
      </x:c>
      <x:c r="M73" s="65" t="n">
        <x:v>0.3983209729625357</x:v>
      </x:c>
      <x:c r="N73" s="63" t="n">
        <x:v>46.06965703581485</x:v>
      </x:c>
      <x:c r="O73" s="59" t="n">
        <x:v>93</x:v>
      </x:c>
      <x:c r="P73" s="63" t="n">
        <x:v>58.21603869779034</x:v>
      </x:c>
      <x:c r="Q73" s="59" t="n">
        <x:v>69</x:v>
      </x:c>
      <x:c r="R73" s="60" t="b">
        <x:v>0</x:v>
      </x:c>
      <x:c r="S73" s="59"/>
      <x:c r="T73" s="63" t="n">
        <x:v>58.21603869779034</x:v>
      </x:c>
    </x:row>
    <x:row r="74" ht="15" hidden="0">
      <x:c r="A74" s="59" t="str">
        <x:v>Peer 104</x:v>
      </x:c>
      <x:c r="B74" s="59" t="str">
        <x:v>Other peer</x:v>
      </x:c>
      <x:c r="C74" s="63" t="n">
        <x:v>43.900126</x:v>
      </x:c>
      <x:c r="D74" s="65" t="n">
        <x:v>0.12211504814359758</x:v>
      </x:c>
      <x:c r="E74" s="65" t="n">
        <x:v>0.02701361267163561</x:v>
      </x:c>
      <x:c r="F74" s="65" t="n">
        <x:v>0.18246104806168437</x:v>
      </x:c>
      <x:c r="G74" s="65" t="n">
        <x:v>0.08078414942660384</x:v>
      </x:c>
      <x:c r="H74" s="65" t="n">
        <x:v>0.39942374740389186</x:v>
      </x:c>
      <x:c r="I74" s="65" t="n">
        <x:v>0.0035943857730188836</x:v>
      </x:c>
      <x:c r="J74" s="65" t="n">
        <x:v>0.5761860680398057</x:v>
      </x:c>
      <x:c r="K74" s="65" t="n">
        <x:v>0.5402684563758389</x:v>
      </x:c>
      <x:c r="L74" s="65" t="n">
        <x:v>0.5472972972972973</x:v>
      </x:c>
      <x:c r="M74" s="65" t="n">
        <x:v>0.5579383098202971</x:v>
      </x:c>
      <x:c r="N74" s="63" t="n">
        <x:v>52.210100873716016</x:v>
      </x:c>
      <x:c r="O74" s="59" t="n">
        <x:v>71</x:v>
      </x:c>
      <x:c r="P74" s="63" t="n">
        <x:v>57.38958269909238</x:v>
      </x:c>
      <x:c r="Q74" s="59" t="n">
        <x:v>70</x:v>
      </x:c>
      <x:c r="R74" s="60" t="b">
        <x:v>0</x:v>
      </x:c>
      <x:c r="S74" s="59"/>
      <x:c r="T74" s="63" t="n">
        <x:v>57.38958269909238</x:v>
      </x:c>
    </x:row>
    <x:row r="75" ht="15" hidden="0">
      <x:c r="A75" s="59" t="str">
        <x:v>Peer 007</x:v>
      </x:c>
      <x:c r="B75" s="59" t="str">
        <x:v>Other peer</x:v>
      </x:c>
      <x:c r="C75" s="63" t="n">
        <x:v>154.522864</x:v>
      </x:c>
      <x:c r="D75" s="65" t="n">
        <x:v>0.07050488657782061</x:v>
      </x:c>
      <x:c r="E75" s="65" t="n">
        <x:v>0.30193874092315554</x:v>
      </x:c>
      <x:c r="F75" s="65" t="n">
        <x:v>0.33447604232859673</x:v>
      </x:c>
      <x:c r="G75" s="65" t="n">
        <x:v>0.1965023644245594</x:v>
      </x:c>
      <x:c r="H75" s="65" t="n">
        <x:v>0.29268111005682107</x:v>
      </x:c>
      <x:c r="I75" s="65" t="n">
        <x:v>0.002331201121927113</x:v>
      </x:c>
      <x:c r="J75" s="65" t="n">
        <x:v>0.8676463781532053</x:v>
      </x:c>
      <x:c r="K75" s="65" t="n">
        <x:v>0.1342281879194631</x:v>
      </x:c>
      <x:c r="L75" s="65" t="n">
        <x:v>0.5574324324324325</x:v>
      </x:c>
      <x:c r="M75" s="65" t="n">
        <x:v>0.34126617338140913</x:v>
      </x:c>
      <x:c r="N75" s="63" t="n">
        <x:v>52.36430227628423</x:v>
      </x:c>
      <x:c r="O75" s="59" t="n">
        <x:v>68</x:v>
      </x:c>
      <x:c r="P75" s="63" t="n">
        <x:v>57.08633427593708</x:v>
      </x:c>
      <x:c r="Q75" s="59" t="n">
        <x:v>71</x:v>
      </x:c>
      <x:c r="R75" s="60" t="b">
        <x:v>0</x:v>
      </x:c>
      <x:c r="S75" s="59"/>
      <x:c r="T75" s="63" t="n">
        <x:v>57.08633427593708</x:v>
      </x:c>
    </x:row>
    <x:row r="76" ht="15" hidden="0">
      <x:c r="A76" s="59" t="str">
        <x:v>Peer 101</x:v>
      </x:c>
      <x:c r="B76" s="59" t="str">
        <x:v>Other peer</x:v>
      </x:c>
      <x:c r="C76" s="63" t="n">
        <x:v>201.363</x:v>
      </x:c>
      <x:c r="D76" s="65" t="n">
        <x:v>0.09920889140507441</x:v>
      </x:c>
      <x:c r="E76" s="65" t="n">
        <x:v>0.14132189131071746</x:v>
      </x:c>
      <x:c r="F76" s="65" t="n">
        <x:v>0.3669591732344075</x:v>
      </x:c>
      <x:c r="G76" s="65" t="n">
        <x:v>0.18090804425088852</x:v>
      </x:c>
      <x:c r="H76" s="65" t="n">
        <x:v>0.3045005525609509</x:v>
      </x:c>
      <x:c r="I76" s="65" t="n">
        <x:v>0.0042685908364059255</x:v>
      </x:c>
      <x:c r="J76" s="65" t="n">
        <x:v>0.8910437398750289</x:v>
      </x:c>
      <x:c r="K76" s="65" t="n">
        <x:v>0.1912751677852349</x:v>
      </x:c>
      <x:c r="L76" s="65" t="n">
        <x:v>0.3141891891891892</x:v>
      </x:c>
      <x:c r="M76" s="65" t="n">
        <x:v>0.41283718443059286</x:v>
      </x:c>
      <x:c r="N76" s="63" t="n">
        <x:v>48.40944559272533</x:v>
      </x:c>
      <x:c r="O76" s="59" t="n">
        <x:v>84</x:v>
      </x:c>
      <x:c r="P76" s="63" t="n">
        <x:v>56.9752249273141</x:v>
      </x:c>
      <x:c r="Q76" s="59" t="n">
        <x:v>72</x:v>
      </x:c>
      <x:c r="R76" s="60" t="b">
        <x:v>0</x:v>
      </x:c>
      <x:c r="S76" s="59"/>
      <x:c r="T76" s="63" t="n">
        <x:v>56.9752249273141</x:v>
      </x:c>
    </x:row>
    <x:row r="77" ht="15" hidden="0">
      <x:c r="A77" s="59" t="str">
        <x:v>Peer 045</x:v>
      </x:c>
      <x:c r="B77" s="59" t="str">
        <x:v>Other peer</x:v>
      </x:c>
      <x:c r="C77" s="63" t="n">
        <x:v>48.668073</x:v>
      </x:c>
      <x:c r="D77" s="65" t="n">
        <x:v>0.08858731678157876</x:v>
      </x:c>
      <x:c r="E77" s="65" t="n">
        <x:v>0.04108052521413782</x:v>
      </x:c>
      <x:c r="F77" s="65" t="n">
        <x:v>0.2458644499855172</x:v>
      </x:c>
      <x:c r="G77" s="65" t="n">
        <x:v>0.005022296836229007</x:v>
      </x:c>
      <x:c r="H77" s="65" t="n">
        <x:v>0.47421132549414696</x:v>
      </x:c>
      <x:c r="I77" s="65" t="n">
        <x:v>0.005644754224699434</x:v>
      </x:c>
      <x:c r="J77" s="65" t="n">
        <x:v>0.48347604721129367</x:v>
      </x:c>
      <x:c r="K77" s="65" t="n">
        <x:v>0.5402684563758389</x:v>
      </x:c>
      <x:c r="L77" s="65" t="n">
        <x:v>0.597972972972973</x:v>
      </x:c>
      <x:c r="M77" s="65" t="n">
        <x:v>0.5110840026077297</x:v>
      </x:c>
      <x:c r="N77" s="63" t="n">
        <x:v>54.38267249994521</x:v>
      </x:c>
      <x:c r="O77" s="59" t="n">
        <x:v>60</x:v>
      </x:c>
      <x:c r="P77" s="63" t="n">
        <x:v>56.615155192418676</x:v>
      </x:c>
      <x:c r="Q77" s="59" t="n">
        <x:v>73</x:v>
      </x:c>
      <x:c r="R77" s="60" t="b">
        <x:v>0</x:v>
      </x:c>
      <x:c r="S77" s="59"/>
      <x:c r="T77" s="63" t="n">
        <x:v>56.615155192418676</x:v>
      </x:c>
    </x:row>
    <x:row r="78" ht="15" hidden="0">
      <x:c r="A78" s="59" t="str">
        <x:v>Peer 086</x:v>
      </x:c>
      <x:c r="B78" s="59" t="str">
        <x:v>Other peer</x:v>
      </x:c>
      <x:c r="C78" s="63" t="n">
        <x:v>14.213677</x:v>
      </x:c>
      <x:c r="D78" s="65" t="n">
        <x:v>0.10898355154686575</x:v>
      </x:c>
      <x:c r="E78" s="65" t="n">
        <x:v>0.017320078400543365</x:v>
      </x:c>
      <x:c r="F78" s="65" t="n">
        <x:v>0.1476997823997267</x:v>
      </x:c>
      <x:c r="G78" s="65" t="n">
        <x:v>0.0838348750239662</x:v>
      </x:c>
      <x:c r="H78" s="65" t="n">
        <x:v>0.24368721167410118</x:v>
      </x:c>
      <x:c r="I78" s="65" t="n">
        <x:v>0.0075052929801616005</x:v>
      </x:c>
      <x:c r="J78" s="65" t="n">
        <x:v>0.4990974311501967</x:v>
      </x:c>
      <x:c r="K78" s="65" t="n">
        <x:v>0.49328859060402686</x:v>
      </x:c>
      <x:c r="L78" s="65" t="n">
        <x:v>0.8108108108108107</x:v>
      </x:c>
      <x:c r="M78" s="65" t="n">
        <x:v>0.49618451042547757</x:v>
      </x:c>
      <x:c r="N78" s="63" t="n">
        <x:v>53.10064840220551</x:v>
      </x:c>
      <x:c r="O78" s="59" t="n">
        <x:v>63</x:v>
      </x:c>
      <x:c r="P78" s="63" t="n">
        <x:v>56.14124808112413</x:v>
      </x:c>
      <x:c r="Q78" s="59" t="n">
        <x:v>74</x:v>
      </x:c>
      <x:c r="R78" s="60" t="b">
        <x:v>0</x:v>
      </x:c>
      <x:c r="S78" s="59"/>
      <x:c r="T78" s="63" t="n">
        <x:v>56.14124808112413</x:v>
      </x:c>
    </x:row>
    <x:row r="79" ht="15" hidden="0">
      <x:c r="A79" s="59" t="str">
        <x:v>Stressed Peer A</x:v>
      </x:c>
      <x:c r="B79" s="59" t="str">
        <x:v>Stressed survivor in 2023</x:v>
      </x:c>
      <x:c r="C79" s="63" t="n">
        <x:v>41.183756</x:v>
      </x:c>
      <x:c r="D79" s="65" t="n">
        <x:v>0.09679624655895883</x:v>
      </x:c>
      <x:c r="E79" s="65" t="n">
        <x:v>0.054290482878735</x:v>
      </x:c>
      <x:c r="F79" s="65" t="n">
        <x:v>0.17270454885173658</x:v>
      </x:c>
      <x:c r="G79" s="65" t="n">
        <x:v>0.039424467939132554</x:v>
      </x:c>
      <x:c r="H79" s="65" t="n">
        <x:v>0.5022117682937518</x:v>
      </x:c>
      <x:c r="I79" s="65" t="n">
        <x:v>0.0037734635684701368</x:v>
      </x:c>
      <x:c r="J79" s="65" t="n">
        <x:v>0.4629483915760241</x:v>
      </x:c>
      <x:c r="K79" s="65" t="n">
        <x:v>0.5100671140939598</x:v>
      </x:c>
      <x:c r="L79" s="65" t="n">
        <x:v>0.5810810810810811</x:v>
      </x:c>
      <x:c r="M79" s="65" t="n">
        <x:v>0.48593698157849957</x:v>
      </x:c>
      <x:c r="N79" s="63" t="n">
        <x:v>50.85090852378632</x:v>
      </x:c>
      <x:c r="O79" s="59" t="n">
        <x:v>76</x:v>
      </x:c>
      <x:c r="P79" s="63" t="n">
        <x:v>55.885890003418346</x:v>
      </x:c>
      <x:c r="Q79" s="59" t="n">
        <x:v>75</x:v>
      </x:c>
      <x:c r="R79" s="60" t="b">
        <x:v>0</x:v>
      </x:c>
      <x:c r="S79" s="59"/>
      <x:c r="T79" s="63" t="n">
        <x:v>55.885890003418346</x:v>
      </x:c>
    </x:row>
    <x:row r="80" ht="15" hidden="0">
      <x:c r="A80" s="59" t="str">
        <x:v>Peer 013</x:v>
      </x:c>
      <x:c r="B80" s="59" t="str">
        <x:v>Other peer</x:v>
      </x:c>
      <x:c r="C80" s="63" t="n">
        <x:v>18.252788</x:v>
      </x:c>
      <x:c r="D80" s="65" t="n">
        <x:v>0.14794967212680057</x:v>
      </x:c>
      <x:c r="E80" s="65" t="n">
        <x:v>0.035851071080209775</x:v>
      </x:c>
      <x:c r="F80" s="65" t="n">
        <x:v>0.10403029937125222</x:v>
      </x:c>
      <x:c r="G80" s="65" t="n">
        <x:v>0.016596963370405563</x:v>
      </x:c>
      <x:c r="H80" s="65" t="n">
        <x:v>0.5353458818489868</x:v>
      </x:c>
      <x:c r="I80" s="65" t="n">
        <x:v>0.0027695500066699363</x:v>
      </x:c>
      <x:c r="J80" s="65" t="n">
        <x:v>0.2836149039574173</x:v>
      </x:c>
      <x:c r="K80" s="65" t="n">
        <x:v>0.651006711409396</x:v>
      </x:c>
      <x:c r="L80" s="65" t="n">
        <x:v>0.25</x:v>
      </x:c>
      <x:c r="M80" s="65" t="n">
        <x:v>0.4296919896065203</x:v>
      </x:c>
      <x:c r="N80" s="63" t="n">
        <x:v>38.92368347751599</x:v>
      </x:c>
      <x:c r="O80" s="59" t="n">
        <x:v>114</x:v>
      </x:c>
      <x:c r="P80" s="63" t="n">
        <x:v>54.677790266557615</x:v>
      </x:c>
      <x:c r="Q80" s="59" t="n">
        <x:v>76</x:v>
      </x:c>
      <x:c r="R80" s="60" t="b">
        <x:v>0</x:v>
      </x:c>
      <x:c r="S80" s="59"/>
      <x:c r="T80" s="63" t="n">
        <x:v>54.677790266557615</x:v>
      </x:c>
    </x:row>
    <x:row r="81" ht="15" hidden="0">
      <x:c r="A81" s="59" t="str">
        <x:v>Peer 035</x:v>
      </x:c>
      <x:c r="B81" s="59" t="str">
        <x:v>Other peer</x:v>
      </x:c>
      <x:c r="C81" s="63" t="n">
        <x:v>43.726588</x:v>
      </x:c>
      <x:c r="D81" s="65" t="n">
        <x:v>0.12993456063848385</x:v>
      </x:c>
      <x:c r="E81" s="65" t="n">
        <x:v>0.038508424210917165</x:v>
      </x:c>
      <x:c r="F81" s="65" t="n">
        <x:v>0.16836387966058544</x:v>
      </x:c>
      <x:c r="G81" s="65" t="n">
        <x:v>0.07036862007939672</x:v>
      </x:c>
      <x:c r="H81" s="65" t="n">
        <x:v>0.45493505075163454</x:v>
      </x:c>
      <x:c r="I81" s="65" t="n">
        <x:v>0.004094030669666728</x:v>
      </x:c>
      <x:c r="J81" s="65" t="n">
        <x:v>0.5252950705855126</x:v>
      </x:c>
      <x:c r="K81" s="65" t="n">
        <x:v>0.5369127516778524</x:v>
      </x:c>
      <x:c r="L81" s="65" t="n">
        <x:v>0.5777027027027026</x:v>
      </x:c>
      <x:c r="M81" s="65" t="n">
        <x:v>0.5310721436781252</x:v>
      </x:c>
      <x:c r="N81" s="63" t="n">
        <x:v>50.01509874292371</x:v>
      </x:c>
      <x:c r="O81" s="59" t="n">
        <x:v>78</x:v>
      </x:c>
      <x:c r="P81" s="63" t="n">
        <x:v>54.60530468608087</x:v>
      </x:c>
      <x:c r="Q81" s="59" t="n">
        <x:v>77</x:v>
      </x:c>
      <x:c r="R81" s="60" t="b">
        <x:v>0</x:v>
      </x:c>
      <x:c r="S81" s="59"/>
      <x:c r="T81" s="63" t="n">
        <x:v>54.60530468608087</x:v>
      </x:c>
    </x:row>
    <x:row r="82" ht="15" hidden="0">
      <x:c r="A82" s="59" t="str">
        <x:v>Peer 023</x:v>
      </x:c>
      <x:c r="B82" s="59" t="str">
        <x:v>Other peer</x:v>
      </x:c>
      <x:c r="C82" s="63" t="n">
        <x:v>18.013146</x:v>
      </x:c>
      <x:c r="D82" s="65" t="n">
        <x:v>0.08884139394639892</x:v>
      </x:c>
      <x:c r="E82" s="65" t="n">
        <x:v>0.04079170845559127</x:v>
      </x:c>
      <x:c r="F82" s="65" t="n">
        <x:v>0.19533489596986556</x:v>
      </x:c>
      <x:c r="G82" s="65" t="n">
        <x:v>0.05494237689751942</x:v>
      </x:c>
      <x:c r="H82" s="65" t="n">
        <x:v>0.401761793220495</x:v>
      </x:c>
      <x:c r="I82" s="65" t="n">
        <x:v>0.009661839663869768</x:v>
      </x:c>
      <x:c r="J82" s="65" t="n">
        <x:v>0.5613746817866234</x:v>
      </x:c>
      <x:c r="K82" s="65" t="n">
        <x:v>0.4563758389261745</x:v>
      </x:c>
      <x:c r="L82" s="65" t="n">
        <x:v>0.7804054054054054</x:v>
      </x:c>
      <x:c r="M82" s="65" t="n">
        <x:v>0.5061598970209755</x:v>
      </x:c>
      <x:c r="N82" s="63" t="n">
        <x:v>56.727546881917576</x:v>
      </x:c>
      <x:c r="O82" s="59" t="n">
        <x:v>51</x:v>
      </x:c>
      <x:c r="P82" s="63" t="n">
        <x:v>54.47593082257267</x:v>
      </x:c>
      <x:c r="Q82" s="59" t="n">
        <x:v>78</x:v>
      </x:c>
      <x:c r="R82" s="60" t="b">
        <x:v>0</x:v>
      </x:c>
      <x:c r="S82" s="59"/>
      <x:c r="T82" s="63" t="n">
        <x:v>54.47593082257267</x:v>
      </x:c>
    </x:row>
    <x:row r="83" ht="15" hidden="0">
      <x:c r="A83" s="59" t="str">
        <x:v>Peer 133</x:v>
      </x:c>
      <x:c r="B83" s="59" t="str">
        <x:v>Other peer</x:v>
      </x:c>
      <x:c r="C83" s="63" t="n">
        <x:v>226.401591</x:v>
      </x:c>
      <x:c r="D83" s="65" t="n">
        <x:v>0.10456588178304807</x:v>
      </x:c>
      <x:c r="E83" s="65" t="n">
        <x:v>0.04831825585536632</x:v>
      </x:c>
      <x:c r="F83" s="65" t="n">
        <x:v>0.14995798328996726</x:v>
      </x:c>
      <x:c r="G83" s="65" t="n">
        <x:v>0.03810101782208765</x:v>
      </x:c>
      <x:c r="H83" s="65" t="n">
        <x:v>0.48985271703069466</x:v>
      </x:c>
      <x:c r="I83" s="65" t="n">
        <x:v>0.009629472189308068</x:v>
      </x:c>
      <x:c r="J83" s="65" t="n">
        <x:v>0.4023605646841009</x:v>
      </x:c>
      <x:c r="K83" s="65" t="n">
        <x:v>0.5134228187919463</x:v>
      </x:c>
      <x:c r="L83" s="65" t="n">
        <x:v>0.8344594594594594</x:v>
      </x:c>
      <x:c r="M83" s="65" t="n">
        <x:v>0.4545119308564191</x:v>
      </x:c>
      <x:c r="N83" s="63" t="n">
        <x:v>51.01496891074373</x:v>
      </x:c>
      <x:c r="O83" s="59" t="n">
        <x:v>75</x:v>
      </x:c>
      <x:c r="P83" s="63" t="n">
        <x:v>53.968506754508994</x:v>
      </x:c>
      <x:c r="Q83" s="59" t="n">
        <x:v>79</x:v>
      </x:c>
      <x:c r="R83" s="60" t="b">
        <x:v>0</x:v>
      </x:c>
      <x:c r="S83" s="59"/>
      <x:c r="T83" s="63" t="n">
        <x:v>53.968506754508994</x:v>
      </x:c>
    </x:row>
    <x:row r="84" ht="15" hidden="0">
      <x:c r="A84" s="59" t="str">
        <x:v>Peer 006</x:v>
      </x:c>
      <x:c r="B84" s="59" t="str">
        <x:v>Other peer</x:v>
      </x:c>
      <x:c r="C84" s="63" t="n">
        <x:v>59.629623</x:v>
      </x:c>
      <x:c r="D84" s="65" t="n">
        <x:v>0.07498298287077884</x:v>
      </x:c>
      <x:c r="E84" s="65" t="n">
        <x:v>0.03190882156004911</x:v>
      </x:c>
      <x:c r="F84" s="65" t="n">
        <x:v>0.16255038204752695</x:v>
      </x:c>
      <x:c r="G84" s="65" t="n">
        <x:v>0.0032910576495340073</x:v>
      </x:c>
      <x:c r="H84" s="65" t="n">
        <x:v>0.4850818956971502</x:v>
      </x:c>
      <x:c r="I84" s="65" t="n">
        <x:v>0.002979832050323009</x:v>
      </x:c>
      <x:c r="J84" s="65" t="n">
        <x:v>0.3153205276556353</x:v>
      </x:c>
      <x:c r="K84" s="65" t="n">
        <x:v>0.5973154362416107</x:v>
      </x:c>
      <x:c r="L84" s="65" t="n">
        <x:v>0.3716216216216216</x:v>
      </x:c>
      <x:c r="M84" s="65" t="n">
        <x:v>0.4339882700402865</x:v>
      </x:c>
      <x:c r="N84" s="63" t="n">
        <x:v>47.8080548780529</x:v>
      </x:c>
      <x:c r="O84" s="59" t="n">
        <x:v>87</x:v>
      </x:c>
      <x:c r="P84" s="63" t="n">
        <x:v>53.90318246517396</x:v>
      </x:c>
      <x:c r="Q84" s="59" t="n">
        <x:v>80</x:v>
      </x:c>
      <x:c r="R84" s="60" t="b">
        <x:v>0</x:v>
      </x:c>
      <x:c r="S84" s="59"/>
      <x:c r="T84" s="63" t="n">
        <x:v>53.90318246517396</x:v>
      </x:c>
    </x:row>
    <x:row r="85" ht="15" hidden="0">
      <x:c r="A85" s="59" t="str">
        <x:v>Peer 005</x:v>
      </x:c>
      <x:c r="B85" s="59" t="str">
        <x:v>Other peer</x:v>
      </x:c>
      <x:c r="C85" s="63" t="n">
        <x:v>16.894686</x:v>
      </x:c>
      <x:c r="D85" s="65" t="n">
        <x:v>0.14254547258232558</x:v>
      </x:c>
      <x:c r="E85" s="65" t="n">
        <x:v>0.02387514038437885</x:v>
      </x:c>
      <x:c r="F85" s="65" t="n">
        <x:v>0.2235862803250679</x:v>
      </x:c>
      <x:c r="G85" s="65" t="n">
        <x:v>0.06916152360562249</x:v>
      </x:c>
      <x:c r="H85" s="65" t="n">
        <x:v>0.3275662197123769</x:v>
      </x:c>
      <x:c r="I85" s="65" t="n">
        <x:v>0.004077530954580722</x:v>
      </x:c>
      <x:c r="J85" s="65" t="n">
        <x:v>0.6257810691969452</x:v>
      </x:c>
      <x:c r="K85" s="65" t="n">
        <x:v>0.47986577181208057</x:v>
      </x:c>
      <x:c r="L85" s="65" t="n">
        <x:v>0.46283783783783783</x:v>
      </x:c>
      <x:c r="M85" s="65" t="n">
        <x:v>0.5479880616907462</x:v>
      </x:c>
      <x:c r="N85" s="63" t="n">
        <x:v>49.29731096457884</x:v>
      </x:c>
      <x:c r="O85" s="59" t="n">
        <x:v>80</x:v>
      </x:c>
      <x:c r="P85" s="63" t="n">
        <x:v>53.76075903212237</x:v>
      </x:c>
      <x:c r="Q85" s="59" t="n">
        <x:v>81</x:v>
      </x:c>
      <x:c r="R85" s="60" t="b">
        <x:v>0</x:v>
      </x:c>
      <x:c r="S85" s="59"/>
      <x:c r="T85" s="63" t="n">
        <x:v>53.76075903212237</x:v>
      </x:c>
    </x:row>
    <x:row r="86" ht="15" hidden="0">
      <x:c r="A86" s="59" t="str">
        <x:v>Peer 123</x:v>
      </x:c>
      <x:c r="B86" s="59" t="str">
        <x:v>Other peer</x:v>
      </x:c>
      <x:c r="C86" s="63" t="n">
        <x:v>41.842515</x:v>
      </x:c>
      <x:c r="D86" s="65" t="n">
        <x:v>0.1344767158475058</x:v>
      </x:c>
      <x:c r="E86" s="65" t="n">
        <x:v>0.028132701870334516</x:v>
      </x:c>
      <x:c r="F86" s="65" t="n">
        <x:v>0.15902622010173145</x:v>
      </x:c>
      <x:c r="G86" s="65" t="n">
        <x:v>0.06329178487976564</x:v>
      </x:c>
      <x:c r="H86" s="65" t="n">
        <x:v>0.4451642958976223</x:v>
      </x:c>
      <x:c r="I86" s="65" t="n">
        <x:v>0.0014609893476827899</x:v>
      </x:c>
      <x:c r="J86" s="65" t="n">
        <x:v>0.4914603101133997</x:v>
      </x:c>
      <x:c r="K86" s="65" t="n">
        <x:v>0.587248322147651</x:v>
      </x:c>
      <x:c r="L86" s="65" t="n">
        <x:v>0.23986486486486486</x:v>
      </x:c>
      <x:c r="M86" s="65" t="n">
        <x:v>0.5372236429237438</x:v>
      </x:c>
      <x:c r="N86" s="63" t="n">
        <x:v>45.327931412246855</x:v>
      </x:c>
      <x:c r="O86" s="59" t="n">
        <x:v>97</x:v>
      </x:c>
      <x:c r="P86" s="63" t="n">
        <x:v>53.06587540543285</x:v>
      </x:c>
      <x:c r="Q86" s="59" t="n">
        <x:v>82</x:v>
      </x:c>
      <x:c r="R86" s="60" t="b">
        <x:v>0</x:v>
      </x:c>
      <x:c r="S86" s="59"/>
      <x:c r="T86" s="63" t="n">
        <x:v>53.06587540543285</x:v>
      </x:c>
    </x:row>
    <x:row r="87" ht="15" hidden="0">
      <x:c r="A87" s="59" t="str">
        <x:v>Peer 075</x:v>
      </x:c>
      <x:c r="B87" s="59" t="str">
        <x:v>Other peer</x:v>
      </x:c>
      <x:c r="C87" s="63" t="n">
        <x:v>11.65686</x:v>
      </x:c>
      <x:c r="D87" s="65" t="n">
        <x:v>0.08396909630895455</x:v>
      </x:c>
      <x:c r="E87" s="65" t="n">
        <x:v>0.058560710174094914</x:v>
      </x:c>
      <x:c r="F87" s="65" t="n">
        <x:v>0.17323859083835613</x:v>
      </x:c>
      <x:c r="G87" s="65" t="n">
        <x:v>0.09121939159147378</x:v>
      </x:c>
      <x:c r="H87" s="65" t="n">
        <x:v>0.3682658810782305</x:v>
      </x:c>
      <x:c r="I87" s="65" t="n">
        <x:v>0.004574788230784109</x:v>
      </x:c>
      <x:c r="J87" s="65" t="n">
        <x:v>0.5697523721360795</x:v>
      </x:c>
      <x:c r="K87" s="65" t="n">
        <x:v>0.3422818791946309</x:v>
      </x:c>
      <x:c r="L87" s="65" t="n">
        <x:v>0.5</x:v>
      </x:c>
      <x:c r="M87" s="65" t="n">
        <x:v>0.4416060604320733</x:v>
      </x:c>
      <x:c r="N87" s="63" t="n">
        <x:v>48.864428791230004</x:v>
      </x:c>
      <x:c r="O87" s="59" t="n">
        <x:v>81</x:v>
      </x:c>
      <x:c r="P87" s="63" t="n">
        <x:v>53.02166066710014</x:v>
      </x:c>
      <x:c r="Q87" s="59" t="n">
        <x:v>83</x:v>
      </x:c>
      <x:c r="R87" s="60" t="b">
        <x:v>0</x:v>
      </x:c>
      <x:c r="S87" s="59"/>
      <x:c r="T87" s="63" t="n">
        <x:v>53.02166066710014</x:v>
      </x:c>
    </x:row>
    <x:row r="88" ht="15" hidden="0">
      <x:c r="A88" s="59" t="str">
        <x:v>Peer 022</x:v>
      </x:c>
      <x:c r="B88" s="59" t="str">
        <x:v>Other peer</x:v>
      </x:c>
      <x:c r="C88" s="63" t="n">
        <x:v>78.672073</x:v>
      </x:c>
      <x:c r="D88" s="65" t="n">
        <x:v>0.10367157860451955</x:v>
      </x:c>
      <x:c r="E88" s="65" t="n">
        <x:v>0.03108214779086856</x:v>
      </x:c>
      <x:c r="F88" s="65" t="n">
        <x:v>0.13004802860603407</x:v>
      </x:c>
      <x:c r="G88" s="65" t="n">
        <x:v>0.02281101973526917</x:v>
      </x:c>
      <x:c r="H88" s="65" t="n">
        <x:v>0.46737883907438676</x:v>
      </x:c>
      <x:c r="I88" s="65" t="n">
        <x:v>0.006210223567878083</x:v>
      </x:c>
      <x:c r="J88" s="65" t="n">
        <x:v>0.3545475584355473</x:v>
      </x:c>
      <x:c r="K88" s="65" t="n">
        <x:v>0.5906040268456376</x:v>
      </x:c>
      <x:c r="L88" s="65" t="n">
        <x:v>0.6081081081081081</x:v>
      </x:c>
      <x:c r="M88" s="65" t="n">
        <x:v>0.4575994052884283</x:v>
      </x:c>
      <x:c r="N88" s="63" t="n">
        <x:v>48.68498784559049</x:v>
      </x:c>
      <x:c r="O88" s="59" t="n">
        <x:v>82</x:v>
      </x:c>
      <x:c r="P88" s="63" t="n">
        <x:v>52.97174641997261</x:v>
      </x:c>
      <x:c r="Q88" s="59" t="n">
        <x:v>84</x:v>
      </x:c>
      <x:c r="R88" s="60" t="b">
        <x:v>0</x:v>
      </x:c>
      <x:c r="S88" s="59"/>
      <x:c r="T88" s="63" t="n">
        <x:v>52.97174641997261</x:v>
      </x:c>
    </x:row>
    <x:row r="89" ht="15" hidden="0">
      <x:c r="A89" s="59" t="str">
        <x:v>Peer 091</x:v>
      </x:c>
      <x:c r="B89" s="59" t="str">
        <x:v>Other peer</x:v>
      </x:c>
      <x:c r="C89" s="63" t="n">
        <x:v>99.105686</x:v>
      </x:c>
      <x:c r="D89" s="65" t="n">
        <x:v>0.11287364480782666</x:v>
      </x:c>
      <x:c r="E89" s="65" t="n">
        <x:v>0.09538156065031425</x:v>
      </x:c>
      <x:c r="F89" s="65" t="n">
        <x:v>0.1584110017663366</x:v>
      </x:c>
      <x:c r="G89" s="65" t="n">
        <x:v>0.1091362562821707</x:v>
      </x:c>
      <x:c r="H89" s="65" t="n">
        <x:v>0.36670982469216357</x:v>
      </x:c>
      <x:c r="I89" s="65" t="n">
        <x:v>0.00695815837465084</x:v>
      </x:c>
      <x:c r="J89" s="65" t="n">
        <x:v>0.5708632261050682</x:v>
      </x:c>
      <x:c r="K89" s="65" t="n">
        <x:v>0.29194630872483224</x:v>
      </x:c>
      <x:c r="L89" s="65" t="n">
        <x:v>0.7804054054054055</x:v>
      </x:c>
      <x:c r="M89" s="65" t="n">
        <x:v>0.40824185435612054</x:v>
      </x:c>
      <x:c r="N89" s="63" t="n">
        <x:v>46.748477699940594</x:v>
      </x:c>
      <x:c r="O89" s="59" t="n">
        <x:v>88</x:v>
      </x:c>
      <x:c r="P89" s="63" t="n">
        <x:v>52.8250219479842</x:v>
      </x:c>
      <x:c r="Q89" s="59" t="n">
        <x:v>85</x:v>
      </x:c>
      <x:c r="R89" s="60" t="b">
        <x:v>0</x:v>
      </x:c>
      <x:c r="S89" s="59"/>
      <x:c r="T89" s="63" t="n">
        <x:v>52.8250219479842</x:v>
      </x:c>
    </x:row>
    <x:row r="90" ht="15" hidden="0">
      <x:c r="A90" s="59" t="str">
        <x:v>Peer 113</x:v>
      </x:c>
      <x:c r="B90" s="59" t="str">
        <x:v>Other peer</x:v>
      </x:c>
      <x:c r="C90" s="63" t="n">
        <x:v>28.398434</x:v>
      </x:c>
      <x:c r="D90" s="65" t="n">
        <x:v>0.11199068230311574</x:v>
      </x:c>
      <x:c r="E90" s="65" t="n">
        <x:v>0.17649716178011787</x:v>
      </x:c>
      <x:c r="F90" s="65" t="n">
        <x:v>0.12624336961678942</x:v>
      </x:c>
      <x:c r="G90" s="65" t="n">
        <x:v>0.047968154548541676</x:v>
      </x:c>
      <x:c r="H90" s="65" t="n">
        <x:v>0.5366529106630238</x:v>
      </x:c>
      <x:c r="I90" s="65" t="n">
        <x:v>0.0025082674397140466</x:v>
      </x:c>
      <x:c r="J90" s="65" t="n">
        <x:v>0.40310113399675995</x:v>
      </x:c>
      <x:c r="K90" s="65" t="n">
        <x:v>0.4496644295302013</x:v>
      </x:c>
      <x:c r="L90" s="65" t="n">
        <x:v>0.23310810810810811</x:v>
      </x:c>
      <x:c r="M90" s="65" t="n">
        <x:v>0.42574668696494905</x:v>
      </x:c>
      <x:c r="N90" s="63" t="n">
        <x:v>38.638202625008134</x:v>
      </x:c>
      <x:c r="O90" s="59" t="n">
        <x:v>115</x:v>
      </x:c>
      <x:c r="P90" s="63" t="n">
        <x:v>52.71588275010104</x:v>
      </x:c>
      <x:c r="Q90" s="59" t="n">
        <x:v>86</x:v>
      </x:c>
      <x:c r="R90" s="60" t="b">
        <x:v>0</x:v>
      </x:c>
      <x:c r="S90" s="59"/>
      <x:c r="T90" s="63" t="n">
        <x:v>52.71588275010104</x:v>
      </x:c>
    </x:row>
    <x:row r="91" ht="15" hidden="0">
      <x:c r="A91" s="59" t="str">
        <x:v>Peer 042</x:v>
      </x:c>
      <x:c r="B91" s="59" t="str">
        <x:v>Other peer</x:v>
      </x:c>
      <x:c r="C91" s="63" t="n">
        <x:v>19.296982</x:v>
      </x:c>
      <x:c r="D91" s="65" t="n">
        <x:v>0.14761443006994565</x:v>
      </x:c>
      <x:c r="E91" s="65" t="n">
        <x:v>0.018337323421869802</x:v>
      </x:c>
      <x:c r="F91" s="65" t="n">
        <x:v>0.1619627877561372</x:v>
      </x:c>
      <x:c r="G91" s="65" t="n">
        <x:v>0.07074884334387802</x:v>
      </x:c>
      <x:c r="H91" s="65" t="n">
        <x:v>0.3372214381969749</x:v>
      </x:c>
      <x:c r="I91" s="65" t="n">
        <x:v>0.003939352307056007</x:v>
      </x:c>
      <x:c r="J91" s="65" t="n">
        <x:v>0.5119648229576487</x:v>
      </x:c>
      <x:c r="K91" s="65" t="n">
        <x:v>0.5268456375838926</x:v>
      </x:c>
      <x:c r="L91" s="65" t="n">
        <x:v>0.34797297297297297</x:v>
      </x:c>
      <x:c r="M91" s="65" t="n">
        <x:v>0.5193519361393073</x:v>
      </x:c>
      <x:c r="N91" s="63" t="n">
        <x:v>44.932808142585614</x:v>
      </x:c>
      <x:c r="O91" s="59" t="n">
        <x:v>98</x:v>
      </x:c>
      <x:c r="P91" s="63" t="n">
        <x:v>52.59820652678546</x:v>
      </x:c>
      <x:c r="Q91" s="59" t="n">
        <x:v>87</x:v>
      </x:c>
      <x:c r="R91" s="60" t="b">
        <x:v>0</x:v>
      </x:c>
      <x:c r="S91" s="59"/>
      <x:c r="T91" s="63" t="n">
        <x:v>52.59820652678546</x:v>
      </x:c>
    </x:row>
    <x:row r="92" ht="15" hidden="0">
      <x:c r="A92" s="59" t="str">
        <x:v>Peer 021</x:v>
      </x:c>
      <x:c r="B92" s="59" t="str">
        <x:v>Other peer</x:v>
      </x:c>
      <x:c r="C92" s="63" t="n">
        <x:v>13.827883</x:v>
      </x:c>
      <x:c r="D92" s="65" t="n">
        <x:v>0.12785268721177348</x:v>
      </x:c>
      <x:c r="E92" s="65" t="n">
        <x:v>0.013887809146201194</x:v>
      </x:c>
      <x:c r="F92" s="65" t="n">
        <x:v>0.106595492599988</x:v>
      </x:c>
      <x:c r="G92" s="65" t="n">
        <x:v>0.022245765108612776</x:v>
      </x:c>
      <x:c r="H92" s="65" t="n">
        <x:v>0.43258115172997297</x:v>
      </x:c>
      <x:c r="I92" s="65" t="n">
        <x:v>0.003136545483853974</x:v>
      </x:c>
      <x:c r="J92" s="65" t="n">
        <x:v>0.30067114093959735</x:v>
      </x:c>
      <x:c r="K92" s="65" t="n">
        <x:v>0.7281879194630873</x:v>
      </x:c>
      <x:c r="L92" s="65" t="n">
        <x:v>0.5641891891891893</x:v>
      </x:c>
      <x:c r="M92" s="65" t="n">
        <x:v>0.4679156895888383</x:v>
      </x:c>
      <x:c r="N92" s="63" t="n">
        <x:v>48.002517407544055</x:v>
      </x:c>
      <x:c r="O92" s="59" t="n">
        <x:v>86</x:v>
      </x:c>
      <x:c r="P92" s="63" t="n">
        <x:v>52.231678159384366</x:v>
      </x:c>
      <x:c r="Q92" s="59" t="n">
        <x:v>88</x:v>
      </x:c>
      <x:c r="R92" s="60" t="b">
        <x:v>0</x:v>
      </x:c>
      <x:c r="S92" s="59"/>
      <x:c r="T92" s="63" t="n">
        <x:v>52.231678159384366</x:v>
      </x:c>
    </x:row>
    <x:row r="93" ht="15" hidden="0">
      <x:c r="A93" s="59" t="str">
        <x:v>Peer 048</x:v>
      </x:c>
      <x:c r="B93" s="59" t="str">
        <x:v>Other peer</x:v>
      </x:c>
      <x:c r="C93" s="63" t="n">
        <x:v>16.995485</x:v>
      </x:c>
      <x:c r="D93" s="65" t="n">
        <x:v>0.1407269048220748</x:v>
      </x:c>
      <x:c r="E93" s="65" t="n">
        <x:v>0.033779677367253715</x:v>
      </x:c>
      <x:c r="F93" s="65" t="n">
        <x:v>0.1681612498848959</x:v>
      </x:c>
      <x:c r="G93" s="65" t="n">
        <x:v>0.04913280055123463</x:v>
      </x:c>
      <x:c r="H93" s="65" t="n">
        <x:v>0.44071752586501645</x:v>
      </x:c>
      <x:c r="I93" s="65" t="n">
        <x:v>0.004866188375167228</x:v>
      </x:c>
      <x:c r="J93" s="65" t="n">
        <x:v>0.4736635038185605</x:v>
      </x:c>
      <x:c r="K93" s="65" t="n">
        <x:v>0.5503355704697986</x:v>
      </x:c>
      <x:c r="L93" s="65" t="n">
        <x:v>0.7128378378378378</x:v>
      </x:c>
      <x:c r="M93" s="65" t="n">
        <x:v>0.5105623121468242</x:v>
      </x:c>
      <x:c r="N93" s="63" t="n">
        <x:v>50.10545723704139</x:v>
      </x:c>
      <x:c r="O93" s="59" t="n">
        <x:v>77</x:v>
      </x:c>
      <x:c r="P93" s="63" t="n">
        <x:v>52.06877030831174</x:v>
      </x:c>
      <x:c r="Q93" s="59" t="n">
        <x:v>89</x:v>
      </x:c>
      <x:c r="R93" s="60" t="b">
        <x:v>0</x:v>
      </x:c>
      <x:c r="S93" s="59"/>
      <x:c r="T93" s="63" t="n">
        <x:v>52.06877030831174</x:v>
      </x:c>
    </x:row>
    <x:row r="94" ht="15" hidden="0">
      <x:c r="A94" s="59" t="str">
        <x:v>Peer 061</x:v>
      </x:c>
      <x:c r="B94" s="59" t="str">
        <x:v>Other peer</x:v>
      </x:c>
      <x:c r="C94" s="63" t="n">
        <x:v>19.808858</x:v>
      </x:c>
      <x:c r="D94" s="65" t="n">
        <x:v>0.11197702563166438</x:v>
      </x:c>
      <x:c r="E94" s="65" t="n">
        <x:v>0.04184991381128584</x:v>
      </x:c>
      <x:c r="F94" s="65" t="n">
        <x:v>0.2627450305312906</x:v>
      </x:c>
      <x:c r="G94" s="65" t="n">
        <x:v>0.03223651199182016</x:v>
      </x:c>
      <x:c r="H94" s="65" t="n">
        <x:v>0.4185312517681157</x:v>
      </x:c>
      <x:c r="I94" s="65" t="n">
        <x:v>0.003290467005910076</x:v>
      </x:c>
      <x:c r="J94" s="65" t="n">
        <x:v>0.603332561906966</x:v>
      </x:c>
      <x:c r="K94" s="65" t="n">
        <x:v>0.47986577181208057</x:v>
      </x:c>
      <x:c r="L94" s="65" t="n">
        <x:v>0.48986486486486486</x:v>
      </x:c>
      <x:c r="M94" s="65" t="n">
        <x:v>0.5380693686494764</x:v>
      </x:c>
      <x:c r="N94" s="63" t="n">
        <x:v>51.15634282463134</x:v>
      </x:c>
      <x:c r="O94" s="59" t="n">
        <x:v>74</x:v>
      </x:c>
      <x:c r="P94" s="63" t="n">
        <x:v>51.58273206296995</x:v>
      </x:c>
      <x:c r="Q94" s="59" t="n">
        <x:v>90</x:v>
      </x:c>
      <x:c r="R94" s="60" t="b">
        <x:v>0</x:v>
      </x:c>
      <x:c r="S94" s="59"/>
      <x:c r="T94" s="63" t="n">
        <x:v>51.58273206296995</x:v>
      </x:c>
    </x:row>
    <x:row r="95" ht="15" hidden="0">
      <x:c r="A95" s="59" t="str">
        <x:v>Peer 066</x:v>
      </x:c>
      <x:c r="B95" s="59" t="str">
        <x:v>Other peer</x:v>
      </x:c>
      <x:c r="C95" s="63" t="n">
        <x:v>12.826414</x:v>
      </x:c>
      <x:c r="D95" s="65" t="n">
        <x:v>0.10391220804193596</x:v>
      </x:c>
      <x:c r="E95" s="65" t="n">
        <x:v>0.06350746202329037</x:v>
      </x:c>
      <x:c r="F95" s="65" t="n">
        <x:v>0.11470470234314907</x:v>
      </x:c>
      <x:c r="G95" s="65" t="n">
        <x:v>0.0022433620118530546</x:v>
      </x:c>
      <x:c r="H95" s="65" t="n">
        <x:v>0.5217134612150823</x:v>
      </x:c>
      <x:c r="I95" s="65" t="n">
        <x:v>0.008619294840258652</x:v>
      </x:c>
      <x:c r="J95" s="65" t="n">
        <x:v>0.20738255033557046</x:v>
      </x:c>
      <x:c r="K95" s="65" t="n">
        <x:v>0.5167785234899329</x:v>
      </x:c>
      <x:c r="L95" s="65" t="n">
        <x:v>0.7398648648648649</x:v>
      </x:c>
      <x:c r="M95" s="65" t="n">
        <x:v>0.32736958954672746</x:v>
      </x:c>
      <x:c r="N95" s="63" t="n">
        <x:v>42.009211099904505</x:v>
      </x:c>
      <x:c r="O95" s="59" t="n">
        <x:v>106</x:v>
      </x:c>
      <x:c r="P95" s="63" t="n">
        <x:v>51.3678686262517</x:v>
      </x:c>
      <x:c r="Q95" s="59" t="n">
        <x:v>91</x:v>
      </x:c>
      <x:c r="R95" s="60" t="b">
        <x:v>0</x:v>
      </x:c>
      <x:c r="S95" s="59"/>
      <x:c r="T95" s="63" t="n">
        <x:v>51.3678686262517</x:v>
      </x:c>
    </x:row>
    <x:row r="96" ht="15" hidden="0">
      <x:c r="A96" s="59" t="str">
        <x:v>Peer 114</x:v>
      </x:c>
      <x:c r="B96" s="59" t="str">
        <x:v>Other peer</x:v>
      </x:c>
      <x:c r="C96" s="63" t="n">
        <x:v>20.879065</x:v>
      </x:c>
      <x:c r="D96" s="65" t="n">
        <x:v>0.07198200685710783</x:v>
      </x:c>
      <x:c r="E96" s="65" t="n">
        <x:v>0.022231598972463566</x:v>
      </x:c>
      <x:c r="F96" s="65" t="n">
        <x:v>0.18224422405888385</x:v>
      </x:c>
      <x:c r="G96" s="65" t="n">
        <x:v>0.03375835125958386</x:v>
      </x:c>
      <x:c r="H96" s="65" t="n">
        <x:v>0.34944496349807275</x:v>
      </x:c>
      <x:c r="I96" s="65" t="n">
        <x:v>0.004297335746805726</x:v>
      </x:c>
      <x:c r="J96" s="65" t="n">
        <x:v>0.46248553575561213</x:v>
      </x:c>
      <x:c r="K96" s="65" t="n">
        <x:v>0.5302013422818792</x:v>
      </x:c>
      <x:c r="L96" s="65" t="n">
        <x:v>0.6385135135135135</x:v>
      </x:c>
      <x:c r="M96" s="65" t="n">
        <x:v>0.4951872896627897</x:v>
      </x:c>
      <x:c r="N96" s="63" t="n">
        <x:v>55.544739078424456</x:v>
      </x:c>
      <x:c r="O96" s="59" t="n">
        <x:v>54</x:v>
      </x:c>
      <x:c r="P96" s="63" t="n">
        <x:v>51.323112712825214</x:v>
      </x:c>
      <x:c r="Q96" s="59" t="n">
        <x:v>92</x:v>
      </x:c>
      <x:c r="R96" s="60" t="b">
        <x:v>0</x:v>
      </x:c>
      <x:c r="S96" s="59"/>
      <x:c r="T96" s="63" t="n">
        <x:v>51.323112712825214</x:v>
      </x:c>
    </x:row>
    <x:row r="97" ht="15" hidden="0">
      <x:c r="A97" s="59" t="str">
        <x:v>Peer 076</x:v>
      </x:c>
      <x:c r="B97" s="59" t="str">
        <x:v>Other peer</x:v>
      </x:c>
      <x:c r="C97" s="63" t="n">
        <x:v>31.679817</x:v>
      </x:c>
      <x:c r="D97" s="65" t="n">
        <x:v>0.0633832891143279</x:v>
      </x:c>
      <x:c r="E97" s="65" t="n">
        <x:v>0.026960225180593687</x:v>
      </x:c>
      <x:c r="F97" s="65" t="n">
        <x:v>0.3860241995716074</x:v>
      </x:c>
      <x:c r="G97" s="65" t="n">
        <x:v>0.00009213280470684088</x:v>
      </x:c>
      <x:c r="H97" s="65" t="n">
        <x:v>0.3847883256404254</x:v>
      </x:c>
      <x:c r="I97" s="65" t="n">
        <x:v>0.0014800011895932663</x:v>
      </x:c>
      <x:c r="J97" s="65" t="n">
        <x:v>0.5218930803054849</x:v>
      </x:c>
      <x:c r="K97" s="65" t="n">
        <x:v>0.5335570469798657</x:v>
      </x:c>
      <x:c r="L97" s="65" t="n">
        <x:v>0.3885135135135135</x:v>
      </x:c>
      <x:c r="M97" s="65" t="n">
        <x:v>0.5276928375172629</x:v>
      </x:c>
      <x:c r="N97" s="63" t="n">
        <x:v>54.510047359884226</x:v>
      </x:c>
      <x:c r="O97" s="59" t="n">
        <x:v>58</x:v>
      </x:c>
      <x:c r="P97" s="63" t="n">
        <x:v>51.10137687519124</x:v>
      </x:c>
      <x:c r="Q97" s="59" t="n">
        <x:v>93</x:v>
      </x:c>
      <x:c r="R97" s="60" t="b">
        <x:v>0</x:v>
      </x:c>
      <x:c r="S97" s="59"/>
      <x:c r="T97" s="63" t="n">
        <x:v>51.10137687519124</x:v>
      </x:c>
    </x:row>
    <x:row r="98" ht="15" hidden="0">
      <x:c r="A98" s="59" t="str">
        <x:v>Peer 090</x:v>
      </x:c>
      <x:c r="B98" s="59" t="str">
        <x:v>Other peer</x:v>
      </x:c>
      <x:c r="C98" s="63" t="n">
        <x:v>14.304653</x:v>
      </x:c>
      <x:c r="D98" s="65" t="n">
        <x:v>0.08254621765379419</x:v>
      </x:c>
      <x:c r="E98" s="65" t="n">
        <x:v>0.02436053499515158</x:v>
      </x:c>
      <x:c r="F98" s="65" t="n">
        <x:v>0.26124981850311224</x:v>
      </x:c>
      <x:c r="G98" s="65" t="n">
        <x:v>0</x:v>
      </x:c>
      <x:c r="H98" s="65" t="n">
        <x:v>0.402410024318065</x:v>
      </x:c>
      <x:c r="I98" s="65" t="n">
        <x:v>0.004770845220078861</x:v>
      </x:c>
      <x:c r="J98" s="65" t="n">
        <x:v>0.39498958574404075</x:v>
      </x:c>
      <x:c r="K98" s="65" t="n">
        <x:v>0.5805369127516778</x:v>
      </x:c>
      <x:c r="L98" s="65" t="n">
        <x:v>0.5878378378378378</x:v>
      </x:c>
      <x:c r="M98" s="65" t="n">
        <x:v>0.47885909689271805</x:v>
      </x:c>
      <x:c r="N98" s="63" t="n">
        <x:v>52.71452483789887</x:v>
      </x:c>
      <x:c r="O98" s="59" t="n">
        <x:v>67</x:v>
      </x:c>
      <x:c r="P98" s="63" t="n">
        <x:v>50.97407767645341</x:v>
      </x:c>
      <x:c r="Q98" s="59" t="n">
        <x:v>94</x:v>
      </x:c>
      <x:c r="R98" s="60" t="b">
        <x:v>0</x:v>
      </x:c>
      <x:c r="S98" s="59"/>
      <x:c r="T98" s="63" t="n">
        <x:v>50.97407767645341</x:v>
      </x:c>
    </x:row>
    <x:row r="99" ht="15" hidden="0">
      <x:c r="A99" s="59" t="str">
        <x:v>Peer 120</x:v>
      </x:c>
      <x:c r="B99" s="59" t="str">
        <x:v>Other peer</x:v>
      </x:c>
      <x:c r="C99" s="63" t="n">
        <x:v>15.845722</x:v>
      </x:c>
      <x:c r="D99" s="65" t="n">
        <x:v>0.11826289770828997</x:v>
      </x:c>
      <x:c r="E99" s="65" t="n">
        <x:v>0.07275332736495062</x:v>
      </x:c>
      <x:c r="F99" s="65" t="n">
        <x:v>0.15078479857213195</x:v>
      </x:c>
      <x:c r="G99" s="65" t="n">
        <x:v>0.015688159999060813</x:v>
      </x:c>
      <x:c r="H99" s="65" t="n">
        <x:v>0.5170436399280949</x:v>
      </x:c>
      <x:c r="I99" s="65" t="n">
        <x:v>0.0006052822160450075</x:v>
      </x:c>
      <x:c r="J99" s="65" t="n">
        <x:v>0.353992131451053</x:v>
      </x:c>
      <x:c r="K99" s="65" t="n">
        <x:v>0.4966442953020135</x:v>
      </x:c>
      <x:c r="L99" s="65" t="n">
        <x:v>0.11486486486486486</x:v>
      </x:c>
      <x:c r="M99" s="65" t="n">
        <x:v>0.41929485170577274</x:v>
      </x:c>
      <x:c r="N99" s="63" t="n">
        <x:v>36.01424717184121</x:v>
      </x:c>
      <x:c r="O99" s="59" t="n">
        <x:v>124</x:v>
      </x:c>
      <x:c r="P99" s="63" t="n">
        <x:v>50.075241029812155</x:v>
      </x:c>
      <x:c r="Q99" s="59" t="n">
        <x:v>95</x:v>
      </x:c>
      <x:c r="R99" s="60" t="b">
        <x:v>0</x:v>
      </x:c>
      <x:c r="S99" s="59"/>
      <x:c r="T99" s="63" t="n">
        <x:v>50.075241029812155</x:v>
      </x:c>
    </x:row>
    <x:row r="100" ht="15" hidden="0">
      <x:c r="A100" s="59" t="str">
        <x:v>Peer 004</x:v>
      </x:c>
      <x:c r="B100" s="59" t="str">
        <x:v>Other peer</x:v>
      </x:c>
      <x:c r="C100" s="63" t="n">
        <x:v>39.192</x:v>
      </x:c>
      <x:c r="D100" s="65" t="n">
        <x:v>0.24186058379261074</x:v>
      </x:c>
      <x:c r="E100" s="65" t="n">
        <x:v>0.40967544396815675</x:v>
      </x:c>
      <x:c r="F100" s="65" t="n">
        <x:v>0.018192488262910797</x:v>
      </x:c>
      <x:c r="G100" s="65" t="n">
        <x:v>0.0005274818018778352</x:v>
      </x:c>
      <x:c r="H100" s="65" t="n">
        <x:v>0.9714498695490122</x:v>
      </x:c>
      <x:c r="I100" s="65" t="n">
        <x:v>0.0033399658897100624</x:v>
      </x:c>
      <x:c r="J100" s="65" t="n">
        <x:v>0.0992594306873409</x:v>
      </x:c>
      <x:c r="K100" s="65" t="n">
        <x:v>0.5067114093959731</x:v>
      </x:c>
      <x:c r="L100" s="65" t="n">
        <x:v>0.27702702702702703</x:v>
      </x:c>
      <x:c r="M100" s="65" t="n">
        <x:v>0.22426744306614016</x:v>
      </x:c>
      <x:c r="N100" s="63" t="n">
        <x:v>25.767507771138305</x:v>
      </x:c>
      <x:c r="O100" s="59" t="n">
        <x:v>138</x:v>
      </x:c>
      <x:c r="P100" s="63" t="n">
        <x:v>50.061643450288074</x:v>
      </x:c>
      <x:c r="Q100" s="59" t="n">
        <x:v>96</x:v>
      </x:c>
      <x:c r="R100" s="60" t="b">
        <x:v>0</x:v>
      </x:c>
      <x:c r="S100" s="59"/>
      <x:c r="T100" s="63" t="n">
        <x:v>50.061643450288074</x:v>
      </x:c>
    </x:row>
    <x:row r="101" ht="15" hidden="0">
      <x:c r="A101" s="59" t="str">
        <x:v>Peer 096</x:v>
      </x:c>
      <x:c r="B101" s="59" t="str">
        <x:v>Other peer</x:v>
      </x:c>
      <x:c r="C101" s="63" t="n">
        <x:v>21.691786</x:v>
      </x:c>
      <x:c r="D101" s="65" t="n">
        <x:v>0.14375547499869307</x:v>
      </x:c>
      <x:c r="E101" s="65" t="n">
        <x:v>0.05084795691788588</x:v>
      </x:c>
      <x:c r="F101" s="65" t="n">
        <x:v>0.18394248403520116</x:v>
      </x:c>
      <x:c r="G101" s="65" t="n">
        <x:v>0.09361856875817148</x:v>
      </x:c>
      <x:c r="H101" s="65" t="n">
        <x:v>0.3320298141766391</x:v>
      </x:c>
      <x:c r="I101" s="65" t="n">
        <x:v>0.0021051223372041566</x:v>
      </x:c>
      <x:c r="J101" s="65" t="n">
        <x:v>0.6034945614441102</x:v>
      </x:c>
      <x:c r="K101" s="65" t="n">
        <x:v>0.31543624161073824</x:v>
      </x:c>
      <x:c r="L101" s="65" t="n">
        <x:v>0.2635135135135135</x:v>
      </x:c>
      <x:c r="M101" s="65" t="n">
        <x:v>0.4363072957153603</x:v>
      </x:c>
      <x:c r="N101" s="63" t="n">
        <x:v>38.96178795421649</x:v>
      </x:c>
      <x:c r="O101" s="59" t="n">
        <x:v>113</x:v>
      </x:c>
      <x:c r="P101" s="63" t="n">
        <x:v>48.74065863346006</x:v>
      </x:c>
      <x:c r="Q101" s="59" t="n">
        <x:v>97</x:v>
      </x:c>
      <x:c r="R101" s="60" t="b">
        <x:v>0</x:v>
      </x:c>
      <x:c r="S101" s="59"/>
      <x:c r="T101" s="63" t="n">
        <x:v>48.74065863346006</x:v>
      </x:c>
    </x:row>
    <x:row r="102" ht="15" hidden="0">
      <x:c r="A102" s="59" t="str">
        <x:v>Peer 115</x:v>
      </x:c>
      <x:c r="B102" s="59" t="str">
        <x:v>Other peer</x:v>
      </x:c>
      <x:c r="C102" s="63" t="n">
        <x:v>20.342081</x:v>
      </x:c>
      <x:c r="D102" s="65" t="n">
        <x:v>0.13107941119691738</x:v>
      </x:c>
      <x:c r="E102" s="65" t="n">
        <x:v>0.015656756061486532</x:v>
      </x:c>
      <x:c r="F102" s="65" t="n">
        <x:v>0.17637752990955055</x:v>
      </x:c>
      <x:c r="G102" s="65" t="n">
        <x:v>0.0171349085743174</x:v>
      </x:c>
      <x:c r="H102" s="65" t="n">
        <x:v>0.391759341500401</x:v>
      </x:c>
      <x:c r="I102" s="65" t="n">
        <x:v>0.0023889029035891176</x:v>
      </x:c>
      <x:c r="J102" s="65" t="n">
        <x:v>0.41793566304096275</x:v>
      </x:c>
      <x:c r="K102" s="65" t="n">
        <x:v>0.6476510067114094</x:v>
      </x:c>
      <x:c r="L102" s="65" t="n">
        <x:v>0.3513513513513513</x:v>
      </x:c>
      <x:c r="M102" s="65" t="n">
        <x:v>0.5202657521969708</x:v>
      </x:c>
      <x:c r="N102" s="63" t="n">
        <x:v>46.42116699062358</x:v>
      </x:c>
      <x:c r="O102" s="59" t="n">
        <x:v>90</x:v>
      </x:c>
      <x:c r="P102" s="63" t="n">
        <x:v>48.39928540865729</x:v>
      </x:c>
      <x:c r="Q102" s="59" t="n">
        <x:v>98</x:v>
      </x:c>
      <x:c r="R102" s="60" t="b">
        <x:v>0</x:v>
      </x:c>
      <x:c r="S102" s="59"/>
      <x:c r="T102" s="63" t="n">
        <x:v>48.39928540865729</x:v>
      </x:c>
    </x:row>
    <x:row r="103" ht="15" hidden="0">
      <x:c r="A103" s="59" t="str">
        <x:v>Peer 036</x:v>
      </x:c>
      <x:c r="B103" s="59" t="str">
        <x:v>Other peer</x:v>
      </x:c>
      <x:c r="C103" s="63" t="n">
        <x:v>31.424</x:v>
      </x:c>
      <x:c r="D103" s="65" t="n">
        <x:v>0.12324974541751528</x:v>
      </x:c>
      <x:c r="E103" s="65" t="n">
        <x:v>0.20653004073319756</x:v>
      </x:c>
      <x:c r="F103" s="65" t="n">
        <x:v>0.004136965376782077</x:v>
      </x:c>
      <x:c r="G103" s="65" t="n">
        <x:v>0</x:v>
      </x:c>
      <x:c r="H103" s="65" t="n">
        <x:v>0.6753045320420671</x:v>
      </x:c>
      <x:c r="I103" s="65" t="n">
        <x:v>0.00274487876785442</x:v>
      </x:c>
      <x:c r="J103" s="65" t="n">
        <x:v>0.03592918305947697</x:v>
      </x:c>
      <x:c r="K103" s="65" t="n">
        <x:v>0.5100671140939597</x:v>
      </x:c>
      <x:c r="L103" s="65" t="n">
        <x:v>0.5844594594594594</x:v>
      </x:c>
      <x:c r="M103" s="65" t="n">
        <x:v>0.13537464576094374</x:v>
      </x:c>
      <x:c r="N103" s="63" t="n">
        <x:v>29.24636601015052</x:v>
      </x:c>
      <x:c r="O103" s="59" t="n">
        <x:v>132</x:v>
      </x:c>
      <x:c r="P103" s="63" t="n">
        <x:v>48.344150314344446</x:v>
      </x:c>
      <x:c r="Q103" s="59" t="n">
        <x:v>99</x:v>
      </x:c>
      <x:c r="R103" s="60" t="b">
        <x:v>0</x:v>
      </x:c>
      <x:c r="S103" s="59"/>
      <x:c r="T103" s="63" t="n">
        <x:v>48.344150314344446</x:v>
      </x:c>
    </x:row>
    <x:row r="104" ht="15" hidden="0">
      <x:c r="A104" s="59" t="str">
        <x:v>Peer 003</x:v>
      </x:c>
      <x:c r="B104" s="59" t="str">
        <x:v>Other peer</x:v>
      </x:c>
      <x:c r="C104" s="63" t="n">
        <x:v>200.262969</x:v>
      </x:c>
      <x:c r="D104" s="65" t="n">
        <x:v>0.12193862460912581</x:v>
      </x:c>
      <x:c r="E104" s="65" t="n">
        <x:v>0.13174645882734315</x:v>
      </x:c>
      <x:c r="F104" s="65" t="n">
        <x:v>0.12186437723291718</x:v>
      </x:c>
      <x:c r="G104" s="65" t="n">
        <x:v>0.05297604717419572</x:v>
      </x:c>
      <x:c r="H104" s="65" t="n">
        <x:v>0.4715171227084664</x:v>
      </x:c>
      <x:c r="I104" s="65" t="n">
        <x:v>0.022825918321471492</x:v>
      </x:c>
      <x:c r="J104" s="65" t="n">
        <x:v>0.4068271233510762</x:v>
      </x:c>
      <x:c r="K104" s="65" t="n">
        <x:v>0.3859060402684564</x:v>
      </x:c>
      <x:c r="L104" s="65" t="n">
        <x:v>0.9594594594594594</x:v>
      </x:c>
      <x:c r="M104" s="65" t="n">
        <x:v>0.3962285252808292</x:v>
      </x:c>
      <x:c r="N104" s="63" t="n">
        <x:v>46.324211231414445</x:v>
      </x:c>
      <x:c r="O104" s="59" t="n">
        <x:v>91</x:v>
      </x:c>
      <x:c r="P104" s="63" t="n">
        <x:v>48.3002061505186</x:v>
      </x:c>
      <x:c r="Q104" s="59" t="n">
        <x:v>100</x:v>
      </x:c>
      <x:c r="R104" s="60" t="b">
        <x:v>0</x:v>
      </x:c>
      <x:c r="S104" s="59"/>
      <x:c r="T104" s="63" t="n">
        <x:v>48.3002061505186</x:v>
      </x:c>
    </x:row>
    <x:row r="105" ht="15" hidden="0">
      <x:c r="A105" s="59" t="str">
        <x:v>Peer 029</x:v>
      </x:c>
      <x:c r="B105" s="59" t="str">
        <x:v>Other peer</x:v>
      </x:c>
      <x:c r="C105" s="63" t="n">
        <x:v>16.915645</x:v>
      </x:c>
      <x:c r="D105" s="65" t="n">
        <x:v>0.12769232269889796</x:v>
      </x:c>
      <x:c r="E105" s="65" t="n">
        <x:v>0.03496260414545233</x:v>
      </x:c>
      <x:c r="F105" s="65" t="n">
        <x:v>0.2074974971394824</x:v>
      </x:c>
      <x:c r="G105" s="65" t="n">
        <x:v>0.012131029750953473</x:v>
      </x:c>
      <x:c r="H105" s="65" t="n">
        <x:v>0.4175452337043144</x:v>
      </x:c>
      <x:c r="I105" s="65" t="n">
        <x:v>0.0028700221764297647</x:v>
      </x:c>
      <x:c r="J105" s="65" t="n">
        <x:v>0.4610969682943763</x:v>
      </x:c>
      <x:c r="K105" s="65" t="n">
        <x:v>0.5167785234899329</x:v>
      </x:c>
      <x:c r="L105" s="65" t="n">
        <x:v>0.42905405405405406</x:v>
      </x:c>
      <x:c r="M105" s="65" t="n">
        <x:v>0.48814445655036603</x:v>
      </x:c>
      <x:c r="N105" s="63" t="n">
        <x:v>44.818380343630054</x:v>
      </x:c>
      <x:c r="O105" s="59" t="n">
        <x:v>100</x:v>
      </x:c>
      <x:c r="P105" s="63" t="n">
        <x:v>48.109501683156786</x:v>
      </x:c>
      <x:c r="Q105" s="59" t="n">
        <x:v>101</x:v>
      </x:c>
      <x:c r="R105" s="60" t="b">
        <x:v>0</x:v>
      </x:c>
      <x:c r="S105" s="59"/>
      <x:c r="T105" s="63" t="n">
        <x:v>48.109501683156786</x:v>
      </x:c>
    </x:row>
    <x:row r="106" ht="15" hidden="0">
      <x:c r="A106" s="59" t="str">
        <x:v>Peer 073</x:v>
      </x:c>
      <x:c r="B106" s="59" t="str">
        <x:v>Other peer</x:v>
      </x:c>
      <x:c r="C106" s="63" t="n">
        <x:v>104.445496</x:v>
      </x:c>
      <x:c r="D106" s="65" t="n">
        <x:v>0.1451066209690842</x:v>
      </x:c>
      <x:c r="E106" s="65" t="n">
        <x:v>0.22379173727127497</x:v>
      </x:c>
      <x:c r="F106" s="65" t="n">
        <x:v>0.10061112640031888</x:v>
      </x:c>
      <x:c r="G106" s="65" t="n">
        <x:v>0.003014040957306387</x:v>
      </x:c>
      <x:c r="H106" s="65" t="n">
        <x:v>0.5334526358732687</x:v>
      </x:c>
      <x:c r="I106" s="65" t="n">
        <x:v>0.006562791404262237</x:v>
      </x:c>
      <x:c r="J106" s="65" t="n">
        <x:v>0.18752603563989817</x:v>
      </x:c>
      <x:c r="K106" s="65" t="n">
        <x:v>0.4261744966442953</x:v>
      </x:c>
      <x:c r="L106" s="65" t="n">
        <x:v>0.7364864864864864</x:v>
      </x:c>
      <x:c r="M106" s="65" t="n">
        <x:v>0.2826991578454626</x:v>
      </x:c>
      <x:c r="N106" s="63" t="n">
        <x:v>34.52638684040159</x:v>
      </x:c>
      <x:c r="O106" s="59" t="n">
        <x:v>127</x:v>
      </x:c>
      <x:c r="P106" s="63" t="n">
        <x:v>46.975850905240776</x:v>
      </x:c>
      <x:c r="Q106" s="59" t="n">
        <x:v>102</x:v>
      </x:c>
      <x:c r="R106" s="60" t="b">
        <x:v>0</x:v>
      </x:c>
      <x:c r="S106" s="59"/>
      <x:c r="T106" s="63" t="n">
        <x:v>46.975850905240776</x:v>
      </x:c>
    </x:row>
    <x:row r="107" ht="15" hidden="0">
      <x:c r="A107" s="59" t="str">
        <x:v>Peer 071</x:v>
      </x:c>
      <x:c r="B107" s="59" t="str">
        <x:v>Other peer</x:v>
      </x:c>
      <x:c r="C107" s="63" t="n">
        <x:v>24.967889</x:v>
      </x:c>
      <x:c r="D107" s="65" t="n">
        <x:v>0.1364090892906485</x:v>
      </x:c>
      <x:c r="E107" s="65" t="n">
        <x:v>0.04474923771088537</x:v>
      </x:c>
      <x:c r="F107" s="65" t="n">
        <x:v>0.06549632610109729</x:v>
      </x:c>
      <x:c r="G107" s="65" t="n">
        <x:v>0.006373744915728745</x:v>
      </x:c>
      <x:c r="H107" s="65" t="n">
        <x:v>0.4742223959508984</x:v>
      </x:c>
      <x:c r="I107" s="65" t="n">
        <x:v>0.007540401250910552</x:v>
      </x:c>
      <x:c r="J107" s="65" t="n">
        <x:v>0.1951631566766952</x:v>
      </x:c>
      <x:c r="K107" s="65" t="n">
        <x:v>0.5201342281879194</x:v>
      </x:c>
      <x:c r="L107" s="65" t="n">
        <x:v>0.8277027027027027</x:v>
      </x:c>
      <x:c r="M107" s="65" t="n">
        <x:v>0.31860796893478804</x:v>
      </x:c>
      <x:c r="N107" s="63" t="n">
        <x:v>39.82599541360425</x:v>
      </x:c>
      <x:c r="O107" s="59" t="n">
        <x:v>112</x:v>
      </x:c>
      <x:c r="P107" s="63" t="n">
        <x:v>46.3565419040121</x:v>
      </x:c>
      <x:c r="Q107" s="59" t="n">
        <x:v>103</x:v>
      </x:c>
      <x:c r="R107" s="60" t="b">
        <x:v>0</x:v>
      </x:c>
      <x:c r="S107" s="59"/>
      <x:c r="T107" s="63" t="n">
        <x:v>46.3565419040121</x:v>
      </x:c>
    </x:row>
    <x:row r="108" ht="15" hidden="0">
      <x:c r="A108" s="59" t="str">
        <x:v>Peer 060</x:v>
      </x:c>
      <x:c r="B108" s="59" t="str">
        <x:v>Other peer</x:v>
      </x:c>
      <x:c r="C108" s="63" t="n">
        <x:v>13.520414</x:v>
      </x:c>
      <x:c r="D108" s="65" t="n">
        <x:v>0.11342049141394635</x:v>
      </x:c>
      <x:c r="E108" s="65" t="n">
        <x:v>0.11569623533717237</x:v>
      </x:c>
      <x:c r="F108" s="65" t="n">
        <x:v>0.18745565039650414</x:v>
      </x:c>
      <x:c r="G108" s="65" t="n">
        <x:v>0.05893542320403367</x:v>
      </x:c>
      <x:c r="H108" s="65" t="n">
        <x:v>0.36145074043915565</x:v>
      </x:c>
      <x:c r="I108" s="65" t="n">
        <x:v>0.014084264005832157</x:v>
      </x:c>
      <x:c r="J108" s="65" t="n">
        <x:v>0.5550335570469799</x:v>
      </x:c>
      <x:c r="K108" s="65" t="n">
        <x:v>0.2684563758389262</x:v>
      </x:c>
      <x:c r="L108" s="65" t="n">
        <x:v>0.7263513513513513</x:v>
      </x:c>
      <x:c r="M108" s="65" t="n">
        <x:v>0.38600815690062834</x:v>
      </x:c>
      <x:c r="N108" s="63" t="n">
        <x:v>44.35560785173619</x:v>
      </x:c>
      <x:c r="O108" s="59" t="n">
        <x:v>102</x:v>
      </x:c>
      <x:c r="P108" s="63" t="n">
        <x:v>45.87159126713683</x:v>
      </x:c>
      <x:c r="Q108" s="59" t="n">
        <x:v>104</x:v>
      </x:c>
      <x:c r="R108" s="60" t="b">
        <x:v>0</x:v>
      </x:c>
      <x:c r="S108" s="59"/>
      <x:c r="T108" s="63" t="n">
        <x:v>45.87159126713683</x:v>
      </x:c>
    </x:row>
    <x:row r="109" ht="15" hidden="0">
      <x:c r="A109" s="59" t="str">
        <x:v>Peer 065</x:v>
      </x:c>
      <x:c r="B109" s="59" t="str">
        <x:v>Other peer</x:v>
      </x:c>
      <x:c r="C109" s="63" t="n">
        <x:v>21.936467</x:v>
      </x:c>
      <x:c r="D109" s="65" t="n">
        <x:v>0.11698634059896701</x:v>
      </x:c>
      <x:c r="E109" s="65" t="n">
        <x:v>0.05298952652676477</x:v>
      </x:c>
      <x:c r="F109" s="65" t="n">
        <x:v>0.06743355709923572</x:v>
      </x:c>
      <x:c r="G109" s="65" t="n">
        <x:v>0.00230139732147902</x:v>
      </x:c>
      <x:c r="H109" s="65" t="n">
        <x:v>0.4971192350888715</x:v>
      </x:c>
      <x:c r="I109" s="65" t="n">
        <x:v>0.004396590031242095</x:v>
      </x:c>
      <x:c r="J109" s="65" t="n">
        <x:v>0.1571395510298542</x:v>
      </x:c>
      <x:c r="K109" s="65" t="n">
        <x:v>0.5033557046979866</x:v>
      </x:c>
      <x:c r="L109" s="65" t="n">
        <x:v>0.6858108108108107</x:v>
      </x:c>
      <x:c r="M109" s="65" t="n">
        <x:v>0.281242047789013</x:v>
      </x:c>
      <x:c r="N109" s="63" t="n">
        <x:v>37.14823675772914</x:v>
      </x:c>
      <x:c r="O109" s="59" t="n">
        <x:v>118</x:v>
      </x:c>
      <x:c r="P109" s="63" t="n">
        <x:v>45.54290218409953</x:v>
      </x:c>
      <x:c r="Q109" s="59" t="n">
        <x:v>105</x:v>
      </x:c>
      <x:c r="R109" s="60" t="b">
        <x:v>0</x:v>
      </x:c>
      <x:c r="S109" s="59"/>
      <x:c r="T109" s="63" t="n">
        <x:v>45.54290218409953</x:v>
      </x:c>
    </x:row>
    <x:row r="110" ht="15" hidden="0">
      <x:c r="A110" s="59" t="str">
        <x:v>Peer 053</x:v>
      </x:c>
      <x:c r="B110" s="59" t="str">
        <x:v>Other peer</x:v>
      </x:c>
      <x:c r="C110" s="63" t="n">
        <x:v>16.801651</x:v>
      </x:c>
      <x:c r="D110" s="65" t="n">
        <x:v>0.07658949706787743</x:v>
      </x:c>
      <x:c r="E110" s="65" t="n">
        <x:v>0.05243151402204462</x:v>
      </x:c>
      <x:c r="F110" s="65" t="n">
        <x:v>0.1999079138115653</x:v>
      </x:c>
      <x:c r="G110" s="65" t="n">
        <x:v>0.05038660895378566</x:v>
      </x:c>
      <x:c r="H110" s="65" t="n">
        <x:v>0.22894457915948074</x:v>
      </x:c>
      <x:c r="I110" s="65" t="n">
        <x:v>0.004907261039282225</x:v>
      </x:c>
      <x:c r="J110" s="65" t="n">
        <x:v>0.5509372830363342</x:v>
      </x:c>
      <x:c r="K110" s="65" t="n">
        <x:v>0.26174496644295303</x:v>
      </x:c>
      <x:c r="L110" s="65" t="n">
        <x:v>0.49324324324324326</x:v>
      </x:c>
      <x:c r="M110" s="65" t="n">
        <x:v>0.3797434142424553</x:v>
      </x:c>
      <x:c r="N110" s="63" t="n">
        <x:v>45.54423286390547</x:v>
      </x:c>
      <x:c r="O110" s="59" t="n">
        <x:v>96</x:v>
      </x:c>
      <x:c r="P110" s="63" t="n">
        <x:v>45.24807825251174</x:v>
      </x:c>
      <x:c r="Q110" s="59" t="n">
        <x:v>106</x:v>
      </x:c>
      <x:c r="R110" s="60" t="b">
        <x:v>0</x:v>
      </x:c>
      <x:c r="S110" s="59"/>
      <x:c r="T110" s="63" t="n">
        <x:v>45.24807825251174</x:v>
      </x:c>
    </x:row>
    <x:row r="111" ht="15" hidden="0">
      <x:c r="A111" s="59" t="str">
        <x:v>Peer 139</x:v>
      </x:c>
      <x:c r="B111" s="59" t="str">
        <x:v>Other peer</x:v>
      </x:c>
      <x:c r="C111" s="63" t="n">
        <x:v>12.980327</x:v>
      </x:c>
      <x:c r="D111" s="65" t="n">
        <x:v>0.09813566330031594</x:v>
      </x:c>
      <x:c r="E111" s="65" t="n">
        <x:v>0.043685263090829686</x:v>
      </x:c>
      <x:c r="F111" s="65" t="n">
        <x:v>0.09074532559927034</x:v>
      </x:c>
      <x:c r="G111" s="65" t="n">
        <x:v>0.07024704180218286</x:v>
      </x:c>
      <x:c r="H111" s="65" t="n">
        <x:v>0.3388648011391008</x:v>
      </x:c>
      <x:c r="I111" s="65" t="n">
        <x:v>0.001167609048242932</x:v>
      </x:c>
      <x:c r="J111" s="65" t="n">
        <x:v>0.38090719740800744</x:v>
      </x:c>
      <x:c r="K111" s="65" t="n">
        <x:v>0.35906040268456374</x:v>
      </x:c>
      <x:c r="L111" s="65" t="n">
        <x:v>0.2939189189189189</x:v>
      </x:c>
      <x:c r="M111" s="65" t="n">
        <x:v>0.36982251376405917</x:v>
      </x:c>
      <x:c r="N111" s="63" t="n">
        <x:v>37.46549432060801</x:v>
      </x:c>
      <x:c r="O111" s="59" t="n">
        <x:v>117</x:v>
      </x:c>
      <x:c r="P111" s="63" t="n">
        <x:v>45.03892151879964</x:v>
      </x:c>
      <x:c r="Q111" s="59" t="n">
        <x:v>107</x:v>
      </x:c>
      <x:c r="R111" s="60" t="b">
        <x:v>0</x:v>
      </x:c>
      <x:c r="S111" s="59"/>
      <x:c r="T111" s="63" t="n">
        <x:v>45.03892151879964</x:v>
      </x:c>
    </x:row>
    <x:row r="112" ht="15" hidden="0">
      <x:c r="A112" s="59" t="str">
        <x:v>Peer 078</x:v>
      </x:c>
      <x:c r="B112" s="59" t="str">
        <x:v>Other peer</x:v>
      </x:c>
      <x:c r="C112" s="63" t="n">
        <x:v>19.159409</x:v>
      </x:c>
      <x:c r="D112" s="65" t="n">
        <x:v>0.11849426044404605</x:v>
      </x:c>
      <x:c r="E112" s="65" t="n">
        <x:v>0.02712500161147977</x:v>
      </x:c>
      <x:c r="F112" s="65" t="n">
        <x:v>0.11730518410040727</x:v>
      </x:c>
      <x:c r="G112" s="65" t="n">
        <x:v>0.007471325122892331</x:v>
      </x:c>
      <x:c r="H112" s="65" t="n">
        <x:v>0.4099048133030644</x:v>
      </x:c>
      <x:c r="I112" s="65" t="n">
        <x:v>0.007034071851772998</x:v>
      </x:c>
      <x:c r="J112" s="65" t="n">
        <x:v>0.2793334876186068</x:v>
      </x:c>
      <x:c r="K112" s="65" t="n">
        <x:v>0.5536912751677853</x:v>
      </x:c>
      <x:c r="L112" s="65" t="n">
        <x:v>0.4560810810810811</x:v>
      </x:c>
      <x:c r="M112" s="65" t="n">
        <x:v>0.3932740964729449</x:v>
      </x:c>
      <x:c r="N112" s="63" t="n">
        <x:v>40.14486365035042</x:v>
      </x:c>
      <x:c r="O112" s="59" t="n">
        <x:v>111</x:v>
      </x:c>
      <x:c r="P112" s="63" t="n">
        <x:v>44.08305465724338</x:v>
      </x:c>
      <x:c r="Q112" s="59" t="n">
        <x:v>108</x:v>
      </x:c>
      <x:c r="R112" s="60" t="b">
        <x:v>0</x:v>
      </x:c>
      <x:c r="S112" s="59"/>
      <x:c r="T112" s="63" t="n">
        <x:v>44.08305465724338</x:v>
      </x:c>
    </x:row>
    <x:row r="113" ht="15" hidden="0">
      <x:c r="A113" s="59" t="str">
        <x:v>Peer 019</x:v>
      </x:c>
      <x:c r="B113" s="59" t="str">
        <x:v>Other peer</x:v>
      </x:c>
      <x:c r="C113" s="63" t="n">
        <x:v>14.547035</x:v>
      </x:c>
      <x:c r="D113" s="65" t="n">
        <x:v>0.09034273994666267</x:v>
      </x:c>
      <x:c r="E113" s="65" t="n">
        <x:v>0.02175577359922486</x:v>
      </x:c>
      <x:c r="F113" s="65" t="n">
        <x:v>0.09490043847423203</x:v>
      </x:c>
      <x:c r="G113" s="65" t="n">
        <x:v>0.00000836999008536629</x:v>
      </x:c>
      <x:c r="H113" s="65" t="n">
        <x:v>0.4126094570636686</x:v>
      </x:c>
      <x:c r="I113" s="65" t="n">
        <x:v>0.0069988689173213475</x:v>
      </x:c>
      <x:c r="J113" s="65" t="n">
        <x:v>0.12554964128673918</x:v>
      </x:c>
      <x:c r="K113" s="65" t="n">
        <x:v>0.6208053691275168</x:v>
      </x:c>
      <x:c r="L113" s="65" t="n">
        <x:v>0.5135135135135135</x:v>
      </x:c>
      <x:c r="M113" s="65" t="n">
        <x:v>0.279180750416001</x:v>
      </x:c>
      <x:c r="N113" s="63" t="n">
        <x:v>41.03968496102557</x:v>
      </x:c>
      <x:c r="O113" s="59" t="n">
        <x:v>109</x:v>
      </x:c>
      <x:c r="P113" s="63" t="n">
        <x:v>44.03454290914378</x:v>
      </x:c>
      <x:c r="Q113" s="59" t="n">
        <x:v>109</x:v>
      </x:c>
      <x:c r="R113" s="60" t="b">
        <x:v>0</x:v>
      </x:c>
      <x:c r="S113" s="59"/>
      <x:c r="T113" s="63" t="n">
        <x:v>44.03454290914378</x:v>
      </x:c>
    </x:row>
    <x:row r="114" ht="15" hidden="0">
      <x:c r="A114" s="59" t="str">
        <x:v>Peer 074</x:v>
      </x:c>
      <x:c r="B114" s="59" t="str">
        <x:v>Other peer</x:v>
      </x:c>
      <x:c r="C114" s="63" t="n">
        <x:v>29.430409</x:v>
      </x:c>
      <x:c r="D114" s="65" t="n">
        <x:v>0.1554547882769825</x:v>
      </x:c>
      <x:c r="E114" s="65" t="n">
        <x:v>0.03992115773858257</x:v>
      </x:c>
      <x:c r="F114" s="65" t="n">
        <x:v>0.1539219179726656</x:v>
      </x:c>
      <x:c r="G114" s="65" t="n">
        <x:v>0.0011191017110453152</x:v>
      </x:c>
      <x:c r="H114" s="65" t="n">
        <x:v>0.4194665794118965</x:v>
      </x:c>
      <x:c r="I114" s="65" t="n">
        <x:v>0.002401692550270931</x:v>
      </x:c>
      <x:c r="J114" s="65" t="n">
        <x:v>0.26750752140708167</x:v>
      </x:c>
      <x:c r="K114" s="65" t="n">
        <x:v>0.5033557046979866</x:v>
      </x:c>
      <x:c r="L114" s="65" t="n">
        <x:v>0.5236486486486487</x:v>
      </x:c>
      <x:c r="M114" s="65" t="n">
        <x:v>0.36694882061381984</x:v>
      </x:c>
      <x:c r="N114" s="63" t="n">
        <x:v>36.898651925537344</x:v>
      </x:c>
      <x:c r="O114" s="59" t="n">
        <x:v>120</x:v>
      </x:c>
      <x:c r="P114" s="63" t="n">
        <x:v>42.86800419613524</x:v>
      </x:c>
      <x:c r="Q114" s="59" t="n">
        <x:v>110</x:v>
      </x:c>
      <x:c r="R114" s="60" t="b">
        <x:v>0</x:v>
      </x:c>
      <x:c r="S114" s="59"/>
      <x:c r="T114" s="63" t="n">
        <x:v>42.86800419613524</x:v>
      </x:c>
    </x:row>
    <x:row r="115" ht="15" hidden="0">
      <x:c r="A115" s="59" t="str">
        <x:v>Peer 025</x:v>
      </x:c>
      <x:c r="B115" s="59" t="str">
        <x:v>Other peer</x:v>
      </x:c>
      <x:c r="C115" s="63" t="n">
        <x:v>28.274145</x:v>
      </x:c>
      <x:c r="D115" s="65" t="n">
        <x:v>0.09538735830915489</x:v>
      </x:c>
      <x:c r="E115" s="65" t="n">
        <x:v>0.04421385686463729</x:v>
      </x:c>
      <x:c r="F115" s="65" t="n">
        <x:v>0.18261733467095115</x:v>
      </x:c>
      <x:c r="G115" s="65" t="n">
        <x:v>0.013038580702381465</x:v>
      </x:c>
      <x:c r="H115" s="65" t="n">
        <x:v>0.3680033944154671</x:v>
      </x:c>
      <x:c r="I115" s="65" t="n">
        <x:v>0.006247574730414383</x:v>
      </x:c>
      <x:c r="J115" s="65" t="n">
        <x:v>0.4209210830826198</x:v>
      </x:c>
      <x:c r="K115" s="65" t="n">
        <x:v>0.3959731543624161</x:v>
      </x:c>
      <x:c r="L115" s="65" t="n">
        <x:v>0.8074324324324325</x:v>
      </x:c>
      <x:c r="M115" s="65" t="n">
        <x:v>0.4082565970145119</x:v>
      </x:c>
      <x:c r="N115" s="63" t="n">
        <x:v>48.673197047813865</x:v>
      </x:c>
      <x:c r="O115" s="59" t="n">
        <x:v>83</x:v>
      </x:c>
      <x:c r="P115" s="63" t="n">
        <x:v>42.8574665162455</x:v>
      </x:c>
      <x:c r="Q115" s="59" t="n">
        <x:v>111</x:v>
      </x:c>
      <x:c r="R115" s="60" t="b">
        <x:v>0</x:v>
      </x:c>
      <x:c r="S115" s="59"/>
      <x:c r="T115" s="63" t="n">
        <x:v>42.8574665162455</x:v>
      </x:c>
    </x:row>
    <x:row r="116" ht="15" hidden="0">
      <x:c r="A116" s="59" t="str">
        <x:v>Peer 047</x:v>
      </x:c>
      <x:c r="B116" s="59" t="str">
        <x:v>Other peer</x:v>
      </x:c>
      <x:c r="C116" s="63" t="n">
        <x:v>154.203</x:v>
      </x:c>
      <x:c r="D116" s="65" t="n">
        <x:v>0.09814335648463389</x:v>
      </x:c>
      <x:c r="E116" s="65" t="n">
        <x:v>0.07827992970305377</x:v>
      </x:c>
      <x:c r="F116" s="65" t="n">
        <x:v>0.188433428662218</x:v>
      </x:c>
      <x:c r="G116" s="65" t="n">
        <x:v>0.02603409541429893</x:v>
      </x:c>
      <x:c r="H116" s="65" t="n">
        <x:v>0.371180638603205</x:v>
      </x:c>
      <x:c r="I116" s="65" t="n">
        <x:v>0.007303768991340257</x:v>
      </x:c>
      <x:c r="J116" s="65" t="n">
        <x:v>0.47907891691738025</x:v>
      </x:c>
      <x:c r="K116" s="65" t="n">
        <x:v>0.3221476510067114</x:v>
      </x:c>
      <x:c r="L116" s="65" t="n">
        <x:v>0.7195945945945946</x:v>
      </x:c>
      <x:c r="M116" s="65" t="n">
        <x:v>0.39285385034612236</x:v>
      </x:c>
      <x:c r="N116" s="63" t="n">
        <x:v>45.96490302217834</x:v>
      </x:c>
      <x:c r="O116" s="59" t="n">
        <x:v>94</x:v>
      </x:c>
      <x:c r="P116" s="63" t="n">
        <x:v>42.556993974341154</x:v>
      </x:c>
      <x:c r="Q116" s="59" t="n">
        <x:v>112</x:v>
      </x:c>
      <x:c r="R116" s="60" t="b">
        <x:v>0</x:v>
      </x:c>
      <x:c r="S116" s="59"/>
      <x:c r="T116" s="63" t="n">
        <x:v>42.556993974341154</x:v>
      </x:c>
    </x:row>
    <x:row r="117" ht="15" hidden="0">
      <x:c r="A117" s="59" t="str">
        <x:v>Peer 126</x:v>
      </x:c>
      <x:c r="B117" s="59" t="str">
        <x:v>Other peer</x:v>
      </x:c>
      <x:c r="C117" s="63" t="n">
        <x:v>15.675667</x:v>
      </x:c>
      <x:c r="D117" s="65" t="n">
        <x:v>0.09586915823103412</x:v>
      </x:c>
      <x:c r="E117" s="65" t="n">
        <x:v>0.052402554864172605</x:v>
      </x:c>
      <x:c r="F117" s="65" t="n">
        <x:v>0.6536853583327586</x:v>
      </x:c>
      <x:c r="G117" s="65" t="n">
        <x:v>0.042793082040147375</x:v>
      </x:c>
      <x:c r="H117" s="65" t="n">
        <x:v>0.010041017522719046</x:v>
      </x:c>
      <x:c r="I117" s="65" t="n">
        <x:v>0.000025713038956010285</x:v>
      </x:c>
      <x:c r="J117" s="65" t="n">
        <x:v>0.7383013191390881</x:v>
      </x:c>
      <x:c r="K117" s="65" t="n">
        <x:v>0.18791946308724833</x:v>
      </x:c>
      <x:c r="L117" s="65" t="n">
        <x:v>0.19256756756756757</x:v>
      </x:c>
      <x:c r="M117" s="65" t="n">
        <x:v>0.37247978131601267</x:v>
      </x:c>
      <x:c r="N117" s="63" t="n">
        <x:v>42.12440266556104</x:v>
      </x:c>
      <x:c r="O117" s="59" t="n">
        <x:v>105</x:v>
      </x:c>
      <x:c r="P117" s="63" t="n">
        <x:v>42.21942258704631</x:v>
      </x:c>
      <x:c r="Q117" s="59" t="n">
        <x:v>113</x:v>
      </x:c>
      <x:c r="R117" s="60" t="b">
        <x:v>0</x:v>
      </x:c>
      <x:c r="S117" s="59"/>
      <x:c r="T117" s="63" t="n">
        <x:v>42.21942258704631</x:v>
      </x:c>
    </x:row>
    <x:row r="118" ht="15" hidden="0">
      <x:c r="A118" s="59" t="str">
        <x:v>Peer 130</x:v>
      </x:c>
      <x:c r="B118" s="59" t="str">
        <x:v>Other peer</x:v>
      </x:c>
      <x:c r="C118" s="63" t="n">
        <x:v>181.89</x:v>
      </x:c>
      <x:c r="D118" s="65" t="n">
        <x:v>0.07255484083786905</x:v>
      </x:c>
      <x:c r="E118" s="65" t="n">
        <x:v>0.02897355544559899</x:v>
      </x:c>
      <x:c r="F118" s="65" t="n">
        <x:v>0.14519214910110506</x:v>
      </x:c>
      <x:c r="G118" s="65" t="n">
        <x:v>0.013412139122527847</x:v>
      </x:c>
      <x:c r="H118" s="65" t="n">
        <x:v>0.1238139171327708</x:v>
      </x:c>
      <x:c r="I118" s="65" t="n">
        <x:v>0.010572253528370228</x:v>
      </x:c>
      <x:c r="J118" s="65" t="n">
        <x:v>0.33712103679703775</x:v>
      </x:c>
      <x:c r="K118" s="65" t="n">
        <x:v>0.3724832214765101</x:v>
      </x:c>
      <x:c r="L118" s="65" t="n">
        <x:v>0.9391891891891893</x:v>
      </x:c>
      <x:c r="M118" s="65" t="n">
        <x:v>0.35436129841400815</x:v>
      </x:c>
      <x:c r="N118" s="63" t="n">
        <x:v>49.31207471742681</x:v>
      </x:c>
      <x:c r="O118" s="59" t="n">
        <x:v>79</x:v>
      </x:c>
      <x:c r="P118" s="63" t="n">
        <x:v>41.42793007205995</x:v>
      </x:c>
      <x:c r="Q118" s="59" t="n">
        <x:v>114</x:v>
      </x:c>
      <x:c r="R118" s="60" t="b">
        <x:v>0</x:v>
      </x:c>
      <x:c r="S118" s="59"/>
      <x:c r="T118" s="63" t="n">
        <x:v>41.42793007205995</x:v>
      </x:c>
    </x:row>
    <x:row r="119" ht="15" hidden="0">
      <x:c r="A119" s="59" t="str">
        <x:v>Peer 085</x:v>
      </x:c>
      <x:c r="B119" s="59" t="str">
        <x:v>Other peer</x:v>
      </x:c>
      <x:c r="C119" s="63" t="n">
        <x:v>21.645013</x:v>
      </x:c>
      <x:c r="D119" s="65" t="n">
        <x:v>0.09958266137331495</x:v>
      </x:c>
      <x:c r="E119" s="65" t="n">
        <x:v>0.029838836317631224</x:v>
      </x:c>
      <x:c r="F119" s="65" t="n">
        <x:v>0.11611362857578325</x:v>
      </x:c>
      <x:c r="G119" s="65" t="n">
        <x:v>0.02384076219178387</x:v>
      </x:c>
      <x:c r="H119" s="65" t="n">
        <x:v>0.3504986554484517</x:v>
      </x:c>
      <x:c r="I119" s="65" t="n">
        <x:v>0.0016990583819495354</x:v>
      </x:c>
      <x:c r="J119" s="65" t="n">
        <x:v>0.334691043739875</x:v>
      </x:c>
      <x:c r="K119" s="65" t="n">
        <x:v>0.46308724832214765</x:v>
      </x:c>
      <x:c r="L119" s="65" t="n">
        <x:v>0.15878378378378377</x:v>
      </x:c>
      <x:c r="M119" s="65" t="n">
        <x:v>0.3936891597232089</x:v>
      </x:c>
      <x:c r="N119" s="63" t="n">
        <x:v>37.1169946386035</x:v>
      </x:c>
      <x:c r="O119" s="59" t="n">
        <x:v>119</x:v>
      </x:c>
      <x:c r="P119" s="63" t="n">
        <x:v>40.74800759822457</x:v>
      </x:c>
      <x:c r="Q119" s="59" t="n">
        <x:v>115</x:v>
      </x:c>
      <x:c r="R119" s="60" t="b">
        <x:v>0</x:v>
      </x:c>
      <x:c r="S119" s="59"/>
      <x:c r="T119" s="63" t="n">
        <x:v>40.74800759822457</x:v>
      </x:c>
    </x:row>
    <x:row r="120" ht="15" hidden="0">
      <x:c r="A120" s="59" t="str">
        <x:v>Peer 050</x:v>
      </x:c>
      <x:c r="B120" s="59" t="str">
        <x:v>Other peer</x:v>
      </x:c>
      <x:c r="C120" s="63" t="n">
        <x:v>19.30988</x:v>
      </x:c>
      <x:c r="D120" s="65" t="n">
        <x:v>0.08092789805011735</x:v>
      </x:c>
      <x:c r="E120" s="65" t="n">
        <x:v>0.046078121666214396</x:v>
      </x:c>
      <x:c r="F120" s="65" t="n">
        <x:v>0.32935533519628296</x:v>
      </x:c>
      <x:c r="G120" s="65" t="n">
        <x:v>0.003176537139376006</x:v>
      </x:c>
      <x:c r="H120" s="65" t="n">
        <x:v>0.3446632174118736</x:v>
      </x:c>
      <x:c r="I120" s="65" t="n">
        <x:v>0.0020489707931857226</x:v>
      </x:c>
      <x:c r="J120" s="65" t="n">
        <x:v>0.533256190696598</x:v>
      </x:c>
      <x:c r="K120" s="65" t="n">
        <x:v>0.348993288590604</x:v>
      </x:c>
      <x:c r="L120" s="65" t="n">
        <x:v>0.4020270270270271</x:v>
      </x:c>
      <x:c r="M120" s="65" t="n">
        <x:v>0.431396374176353</x:v>
      </x:c>
      <x:c r="N120" s="63" t="n">
        <x:v>46.55504229321848</x:v>
      </x:c>
      <x:c r="O120" s="59" t="n">
        <x:v>89</x:v>
      </x:c>
      <x:c r="P120" s="63" t="n">
        <x:v>40.617928390474276</x:v>
      </x:c>
      <x:c r="Q120" s="59" t="n">
        <x:v>116</x:v>
      </x:c>
      <x:c r="R120" s="60" t="b">
        <x:v>0</x:v>
      </x:c>
      <x:c r="S120" s="59"/>
      <x:c r="T120" s="63" t="n">
        <x:v>40.617928390474276</x:v>
      </x:c>
    </x:row>
    <x:row r="121" ht="15" hidden="0">
      <x:c r="A121" s="59" t="str">
        <x:v>Peer 040</x:v>
      </x:c>
      <x:c r="B121" s="59" t="str">
        <x:v>Other peer</x:v>
      </x:c>
      <x:c r="C121" s="63" t="n">
        <x:v>26.44142</x:v>
      </x:c>
      <x:c r="D121" s="65" t="n">
        <x:v>0.06827156030198075</x:v>
      </x:c>
      <x:c r="E121" s="65" t="n">
        <x:v>0.02906428625996637</x:v>
      </x:c>
      <x:c r="F121" s="65" t="n">
        <x:v>0.3008881898173396</x:v>
      </x:c>
      <x:c r="G121" s="65" t="n">
        <x:v>0.0001263020047119511</x:v>
      </x:c>
      <x:c r="H121" s="65" t="n">
        <x:v>0.26061174831926337</x:v>
      </x:c>
      <x:c r="I121" s="65" t="n">
        <x:v>0.005749473750353451</x:v>
      </x:c>
      <x:c r="J121" s="65" t="n">
        <x:v>0.46829437630178194</x:v>
      </x:c>
      <x:c r="K121" s="65" t="n">
        <x:v>0.39597315436241615</x:v>
      </x:c>
      <x:c r="L121" s="65" t="n">
        <x:v>0.7736486486486487</x:v>
      </x:c>
      <x:c r="M121" s="65" t="n">
        <x:v>0.43061816189566005</x:v>
      </x:c>
      <x:c r="N121" s="63" t="n">
        <x:v>53.02651083671126</x:v>
      </x:c>
      <x:c r="O121" s="59" t="n">
        <x:v>65</x:v>
      </x:c>
      <x:c r="P121" s="63" t="n">
        <x:v>40.163203102308955</x:v>
      </x:c>
      <x:c r="Q121" s="59" t="n">
        <x:v>117</x:v>
      </x:c>
      <x:c r="R121" s="60" t="b">
        <x:v>0</x:v>
      </x:c>
      <x:c r="S121" s="59"/>
      <x:c r="T121" s="63" t="n">
        <x:v>40.163203102308955</x:v>
      </x:c>
    </x:row>
    <x:row r="122" ht="15" hidden="0">
      <x:c r="A122" s="59" t="str">
        <x:v>Peer 058</x:v>
      </x:c>
      <x:c r="B122" s="59" t="str">
        <x:v>Other peer</x:v>
      </x:c>
      <x:c r="C122" s="63" t="n">
        <x:v>31.844724</x:v>
      </x:c>
      <x:c r="D122" s="65" t="n">
        <x:v>0.08617414928764966</x:v>
      </x:c>
      <x:c r="E122" s="65" t="n">
        <x:v>0.04064814629889711</x:v>
      </x:c>
      <x:c r="F122" s="65" t="n">
        <x:v>0.10237912565987382</x:v>
      </x:c>
      <x:c r="G122" s="65" t="n">
        <x:v>0.0221821213676011</x:v>
      </x:c>
      <x:c r="H122" s="65" t="n">
        <x:v>0.3695897378700664</x:v>
      </x:c>
      <x:c r="I122" s="65" t="n">
        <x:v>0.002488139606067312</x:v>
      </x:c>
      <x:c r="J122" s="65" t="n">
        <x:v>0.28380004628558203</x:v>
      </x:c>
      <x:c r="K122" s="65" t="n">
        <x:v>0.43288590604026844</x:v>
      </x:c>
      <x:c r="L122" s="65" t="n">
        <x:v>0.43243243243243246</x:v>
      </x:c>
      <x:c r="M122" s="65" t="n">
        <x:v>0.35050398024930374</x:v>
      </x:c>
      <x:c r="N122" s="63" t="n">
        <x:v>40.48600407034638</x:v>
      </x:c>
      <x:c r="O122" s="59" t="n">
        <x:v>110</x:v>
      </x:c>
      <x:c r="P122" s="63" t="n">
        <x:v>39.952616680362766</x:v>
      </x:c>
      <x:c r="Q122" s="59" t="n">
        <x:v>118</x:v>
      </x:c>
      <x:c r="R122" s="60" t="b">
        <x:v>0</x:v>
      </x:c>
      <x:c r="S122" s="59"/>
      <x:c r="T122" s="63" t="n">
        <x:v>39.952616680362766</x:v>
      </x:c>
    </x:row>
    <x:row r="123" ht="15" hidden="0">
      <x:c r="A123" s="59" t="str">
        <x:v>Peer 099</x:v>
      </x:c>
      <x:c r="B123" s="59" t="str">
        <x:v>Other peer</x:v>
      </x:c>
      <x:c r="C123" s="63" t="n">
        <x:v>90.036656</x:v>
      </x:c>
      <x:c r="D123" s="65" t="n">
        <x:v>0.10698531495883187</x:v>
      </x:c>
      <x:c r="E123" s="65" t="n">
        <x:v>0.01374931116944192</x:v>
      </x:c>
      <x:c r="F123" s="65" t="n">
        <x:v>0.10077622163133203</x:v>
      </x:c>
      <x:c r="G123" s="65" t="n">
        <x:v>0.001434192222245292</x:v>
      </x:c>
      <x:c r="H123" s="65" t="n">
        <x:v>0.3330063402932496</x:v>
      </x:c>
      <x:c r="I123" s="65" t="n">
        <x:v>0.009353475443616742</x:v>
      </x:c>
      <x:c r="J123" s="65" t="n">
        <x:v>0.17364036102753994</x:v>
      </x:c>
      <x:c r="K123" s="65" t="n">
        <x:v>0.6040268456375839</x:v>
      </x:c>
      <x:c r="L123" s="65" t="n">
        <x:v>0.7432432432432432</x:v>
      </x:c>
      <x:c r="M123" s="65" t="n">
        <x:v>0.32385712829399976</x:v>
      </x:c>
      <x:c r="N123" s="63" t="n">
        <x:v>43.33652177301236</x:v>
      </x:c>
      <x:c r="O123" s="59" t="n">
        <x:v>103</x:v>
      </x:c>
      <x:c r="P123" s="63" t="n">
        <x:v>38.35501117737508</x:v>
      </x:c>
      <x:c r="Q123" s="59" t="n">
        <x:v>119</x:v>
      </x:c>
      <x:c r="R123" s="60" t="b">
        <x:v>0</x:v>
      </x:c>
      <x:c r="S123" s="59"/>
      <x:c r="T123" s="63" t="n">
        <x:v>38.35501117737508</x:v>
      </x:c>
    </x:row>
    <x:row r="124" ht="15" hidden="0">
      <x:c r="A124" s="59" t="str">
        <x:v>Peer 098</x:v>
      </x:c>
      <x:c r="B124" s="59" t="str">
        <x:v>Other peer</x:v>
      </x:c>
      <x:c r="C124" s="63" t="n">
        <x:v>11.417843</x:v>
      </x:c>
      <x:c r="D124" s="65" t="n">
        <x:v>0.09041515109289908</x:v>
      </x:c>
      <x:c r="E124" s="65" t="n">
        <x:v>0.02605343233393558</x:v>
      </x:c>
      <x:c r="F124" s="65" t="n">
        <x:v>0.1828327819886821</x:v>
      </x:c>
      <x:c r="G124" s="65" t="n">
        <x:v>0.0007013152567065693</x:v>
      </x:c>
      <x:c r="H124" s="65" t="n">
        <x:v>0.27532434200177175</x:v>
      </x:c>
      <x:c r="I124" s="65" t="n">
        <x:v>0.004885520792120393</x:v>
      </x:c>
      <x:c r="J124" s="65" t="n">
        <x:v>0.3277250636426753</x:v>
      </x:c>
      <x:c r="K124" s="65" t="n">
        <x:v>0.436241610738255</x:v>
      </x:c>
      <x:c r="L124" s="65" t="n">
        <x:v>0.6418918918918919</x:v>
      </x:c>
      <x:c r="M124" s="65" t="n">
        <x:v>0.3781101818819189</x:v>
      </x:c>
      <x:c r="N124" s="63" t="n">
        <x:v>44.90868651044886</x:v>
      </x:c>
      <x:c r="O124" s="59" t="n">
        <x:v>99</x:v>
      </x:c>
      <x:c r="P124" s="63" t="n">
        <x:v>36.78404449029385</x:v>
      </x:c>
      <x:c r="Q124" s="59" t="n">
        <x:v>120</x:v>
      </x:c>
      <x:c r="R124" s="60" t="b">
        <x:v>0</x:v>
      </x:c>
      <x:c r="S124" s="59"/>
      <x:c r="T124" s="63" t="n">
        <x:v>36.78404449029385</x:v>
      </x:c>
    </x:row>
    <x:row r="125" ht="15" hidden="0">
      <x:c r="A125" s="59" t="str">
        <x:v>Peer 137</x:v>
      </x:c>
      <x:c r="B125" s="59" t="str">
        <x:v>Other peer</x:v>
      </x:c>
      <x:c r="C125" s="63" t="n">
        <x:v>15.595743</x:v>
      </x:c>
      <x:c r="D125" s="65" t="n">
        <x:v>0.06205911446476131</x:v>
      </x:c>
      <x:c r="E125" s="65" t="n">
        <x:v>0.06325078580738347</x:v>
      </x:c>
      <x:c r="F125" s="65" t="n">
        <x:v>0.10825101439540265</x:v>
      </x:c>
      <x:c r="G125" s="65" t="n">
        <x:v>0</x:v>
      </x:c>
      <x:c r="H125" s="65" t="n">
        <x:v>0.41219329701617485</x:v>
      </x:c>
      <x:c r="I125" s="65" t="n">
        <x:v>0</x:v>
      </x:c>
      <x:c r="J125" s="65" t="n">
        <x:v>0.12988891460310115</x:v>
      </x:c>
      <x:c r="K125" s="65" t="n">
        <x:v>0.38926174496644295</x:v>
      </x:c>
      <x:c r="L125" s="65" t="n">
        <x:v>0.2179054054054054</x:v>
      </x:c>
      <x:c r="M125" s="65" t="n">
        <x:v>0.22485725594296582</x:v>
      </x:c>
      <x:c r="N125" s="63" t="n">
        <x:v>31.38837350041534</x:v>
      </x:c>
      <x:c r="O125" s="59" t="n">
        <x:v>130</x:v>
      </x:c>
      <x:c r="P125" s="63" t="n">
        <x:v>36.75208524470606</x:v>
      </x:c>
      <x:c r="Q125" s="59" t="n">
        <x:v>121</x:v>
      </x:c>
      <x:c r="R125" s="60" t="b">
        <x:v>0</x:v>
      </x:c>
      <x:c r="S125" s="59"/>
      <x:c r="T125" s="63" t="n">
        <x:v>36.75208524470606</x:v>
      </x:c>
    </x:row>
    <x:row r="126" ht="15" hidden="0">
      <x:c r="A126" s="59" t="str">
        <x:v>Peer 017</x:v>
      </x:c>
      <x:c r="B126" s="59" t="str">
        <x:v>Other peer</x:v>
      </x:c>
      <x:c r="C126" s="63" t="n">
        <x:v>34.68105</x:v>
      </x:c>
      <x:c r="D126" s="65" t="n">
        <x:v>0.10686314284025426</x:v>
      </x:c>
      <x:c r="E126" s="65" t="n">
        <x:v>0.01652176044266249</x:v>
      </x:c>
      <x:c r="F126" s="65" t="n">
        <x:v>0.08605249841051525</x:v>
      </x:c>
      <x:c r="G126" s="65" t="n">
        <x:v>0.003366318360465888</x:v>
      </x:c>
      <x:c r="H126" s="65" t="n">
        <x:v>0.25078102929586865</x:v>
      </x:c>
      <x:c r="I126" s="65" t="n">
        <x:v>0.11021677964062694</x:v>
      </x:c>
      <x:c r="J126" s="65" t="n">
        <x:v>0.18454061559824114</x:v>
      </x:c>
      <x:c r="K126" s="65" t="n">
        <x:v>0.5167785234899329</x:v>
      </x:c>
      <x:c r="L126" s="65" t="n">
        <x:v>0.9966216216216216</x:v>
      </x:c>
      <x:c r="M126" s="65" t="n">
        <x:v>0.3088148747272099</x:v>
      </x:c>
      <x:c r="N126" s="63" t="n">
        <x:v>44.69008713511907</x:v>
      </x:c>
      <x:c r="O126" s="59" t="n">
        <x:v>101</x:v>
      </x:c>
      <x:c r="P126" s="63" t="n">
        <x:v>36.3297365445639</x:v>
      </x:c>
      <x:c r="Q126" s="59" t="n">
        <x:v>122</x:v>
      </x:c>
      <x:c r="R126" s="60" t="b">
        <x:v>0</x:v>
      </x:c>
      <x:c r="S126" s="59"/>
      <x:c r="T126" s="63" t="n">
        <x:v>36.3297365445639</x:v>
      </x:c>
    </x:row>
    <x:row r="127" ht="15" hidden="0">
      <x:c r="A127" s="59" t="str">
        <x:v>Peer 118</x:v>
      </x:c>
      <x:c r="B127" s="59" t="str">
        <x:v>Other peer</x:v>
      </x:c>
      <x:c r="C127" s="63" t="n">
        <x:v>11.55629</x:v>
      </x:c>
      <x:c r="D127" s="65" t="n">
        <x:v>0.1679144431301049</x:v>
      </x:c>
      <x:c r="E127" s="65" t="n">
        <x:v>0.04068978885092015</x:v>
      </x:c>
      <x:c r="F127" s="65" t="n">
        <x:v>0.06347954230985896</x:v>
      </x:c>
      <x:c r="G127" s="65" t="n">
        <x:v>0.003235817338909995</x:v>
      </x:c>
      <x:c r="H127" s="65" t="n">
        <x:v>0.40209758174603083</x:v>
      </x:c>
      <x:c r="I127" s="65" t="n">
        <x:v>0.003943504381502493</x:v>
      </x:c>
      <x:c r="J127" s="65" t="n">
        <x:v>0.1642212450821569</x:v>
      </x:c>
      <x:c r="K127" s="65" t="n">
        <x:v>0.46308724832214765</x:v>
      </x:c>
      <x:c r="L127" s="65" t="n">
        <x:v>0.4932432432432432</x:v>
      </x:c>
      <x:c r="M127" s="65" t="n">
        <x:v>0.2757694045776889</x:v>
      </x:c>
      <x:c r="N127" s="63" t="n">
        <x:v>30.630306588408633</x:v>
      </x:c>
      <x:c r="O127" s="59" t="n">
        <x:v>131</x:v>
      </x:c>
      <x:c r="P127" s="63" t="n">
        <x:v>36.25399495808242</x:v>
      </x:c>
      <x:c r="Q127" s="59" t="n">
        <x:v>123</x:v>
      </x:c>
      <x:c r="R127" s="60" t="b">
        <x:v>0</x:v>
      </x:c>
      <x:c r="S127" s="59"/>
      <x:c r="T127" s="63" t="n">
        <x:v>36.25399495808242</x:v>
      </x:c>
    </x:row>
    <x:row r="128" ht="15" hidden="0">
      <x:c r="A128" s="59" t="str">
        <x:v>Peer 001</x:v>
      </x:c>
      <x:c r="B128" s="59" t="str">
        <x:v>Other peer</x:v>
      </x:c>
      <x:c r="C128" s="63" t="n">
        <x:v>27.656568</x:v>
      </x:c>
      <x:c r="D128" s="65" t="n">
        <x:v>0.16956474859787374</x:v>
      </x:c>
      <x:c r="E128" s="65" t="n">
        <x:v>0.03736739858683839</x:v>
      </x:c>
      <x:c r="F128" s="65" t="n">
        <x:v>0.12624896191024135</x:v>
      </x:c>
      <x:c r="G128" s="65" t="n">
        <x:v>0</x:v>
      </x:c>
      <x:c r="H128" s="65" t="n">
        <x:v>0.4044147520321144</x:v>
      </x:c>
      <x:c r="I128" s="65" t="n">
        <x:v>0.002427619585759345</x:v>
      </x:c>
      <x:c r="J128" s="65" t="n">
        <x:v>0.16680166628095347</x:v>
      </x:c>
      <x:c r="K128" s="65" t="n">
        <x:v>0.4865771812080537</x:v>
      </x:c>
      <x:c r="L128" s="65" t="n">
        <x:v>0.2162162162162162</x:v>
      </x:c>
      <x:c r="M128" s="65" t="n">
        <x:v>0.28488924970906293</x:v>
      </x:c>
      <x:c r="N128" s="63" t="n">
        <x:v>27.324843965273544</x:v>
      </x:c>
      <x:c r="O128" s="59" t="n">
        <x:v>136</x:v>
      </x:c>
      <x:c r="P128" s="63" t="n">
        <x:v>36.04541317084207</x:v>
      </x:c>
      <x:c r="Q128" s="59" t="n">
        <x:v>124</x:v>
      </x:c>
      <x:c r="R128" s="60" t="b">
        <x:v>0</x:v>
      </x:c>
      <x:c r="S128" s="59"/>
      <x:c r="T128" s="63" t="n">
        <x:v>36.04541317084207</x:v>
      </x:c>
    </x:row>
    <x:row r="129" ht="15" hidden="0">
      <x:c r="A129" s="59" t="str">
        <x:v>Peer 127</x:v>
      </x:c>
      <x:c r="B129" s="59" t="str">
        <x:v>Other peer</x:v>
      </x:c>
      <x:c r="C129" s="63" t="n">
        <x:v>120.987397</x:v>
      </x:c>
      <x:c r="D129" s="65" t="n">
        <x:v>0.07780587262324522</x:v>
      </x:c>
      <x:c r="E129" s="65" t="n">
        <x:v>0.19351128779140525</x:v>
      </x:c>
      <x:c r="F129" s="65" t="n">
        <x:v>0.06250635345101276</x:v>
      </x:c>
      <x:c r="G129" s="65" t="n">
        <x:v>0.046274670607094254</x:v>
      </x:c>
      <x:c r="H129" s="65" t="n">
        <x:v>0.2644165476996683</x:v>
      </x:c>
      <x:c r="I129" s="65" t="n">
        <x:v>0.00015900364528462812</x:v>
      </x:c>
      <x:c r="J129" s="65" t="n">
        <x:v>0.3023374218930803</x:v>
      </x:c>
      <x:c r="K129" s="65" t="n">
        <x:v>0.1476510067114094</x:v>
      </x:c>
      <x:c r="L129" s="65" t="n">
        <x:v>0.057432432432432436</x:v>
      </x:c>
      <x:c r="M129" s="65" t="n">
        <x:v>0.21128280741471941</x:v>
      </x:c>
      <x:c r="N129" s="63" t="n">
        <x:v>25.530381455841972</x:v>
      </x:c>
      <x:c r="O129" s="59" t="n">
        <x:v>139</x:v>
      </x:c>
      <x:c r="P129" s="63" t="n">
        <x:v>32.463292737672475</x:v>
      </x:c>
      <x:c r="Q129" s="59" t="n">
        <x:v>125</x:v>
      </x:c>
      <x:c r="R129" s="60" t="b">
        <x:v>0</x:v>
      </x:c>
      <x:c r="S129" s="59"/>
      <x:c r="T129" s="63" t="n">
        <x:v>32.463292737672475</x:v>
      </x:c>
    </x:row>
    <x:row r="130" ht="15" hidden="0">
      <x:c r="A130" s="59" t="str">
        <x:v>Peer 121</x:v>
      </x:c>
      <x:c r="B130" s="59" t="str">
        <x:v>Other peer</x:v>
      </x:c>
      <x:c r="C130" s="63" t="n">
        <x:v>11.886358</x:v>
      </x:c>
      <x:c r="D130" s="65" t="n">
        <x:v>0.1494020287795471</x:v>
      </x:c>
      <x:c r="E130" s="65" t="n">
        <x:v>0.047067739336136435</x:v>
      </x:c>
      <x:c r="F130" s="65" t="n">
        <x:v>0.1912516853354072</x:v>
      </x:c>
      <x:c r="G130" s="65" t="n">
        <x:v>0.00835770669303532</x:v>
      </x:c>
      <x:c r="H130" s="65" t="n">
        <x:v>0.056024684562851305</x:v>
      </x:c>
      <x:c r="I130" s="65" t="n">
        <x:v>0.0016346126064432696</x:v>
      </x:c>
      <x:c r="J130" s="65" t="n">
        <x:v>0.427169636658181</x:v>
      </x:c>
      <x:c r="K130" s="65" t="n">
        <x:v>0.22483221476510068</x:v>
      </x:c>
      <x:c r="L130" s="65" t="n">
        <x:v>0.5202702702702703</x:v>
      </x:c>
      <x:c r="M130" s="65" t="n">
        <x:v>0.3099056235215201</x:v>
      </x:c>
      <x:c r="N130" s="63" t="n">
        <x:v>32.63338360474771</x:v>
      </x:c>
      <x:c r="O130" s="59" t="n">
        <x:v>128</x:v>
      </x:c>
      <x:c r="P130" s="63" t="n">
        <x:v>30.862296499402674</x:v>
      </x:c>
      <x:c r="Q130" s="59" t="n">
        <x:v>126</x:v>
      </x:c>
      <x:c r="R130" s="60" t="b">
        <x:v>0</x:v>
      </x:c>
      <x:c r="S130" s="59"/>
      <x:c r="T130" s="63" t="n">
        <x:v>30.862296499402674</x:v>
      </x:c>
    </x:row>
    <x:row r="131" ht="15" hidden="0">
      <x:c r="A131" s="59" t="str">
        <x:v>Peer 067</x:v>
      </x:c>
      <x:c r="B131" s="59" t="str">
        <x:v>Other peer</x:v>
      </x:c>
      <x:c r="C131" s="63" t="n">
        <x:v>12.493973</x:v>
      </x:c>
      <x:c r="D131" s="65" t="n">
        <x:v>0.09649300506732326</x:v>
      </x:c>
      <x:c r="E131" s="65" t="n">
        <x:v>0.013754711971924382</x:v>
      </x:c>
      <x:c r="F131" s="65" t="n">
        <x:v>0.022626349520684895</x:v>
      </x:c>
      <x:c r="G131" s="65" t="n">
        <x:v>0.00008543598480732526</x:v>
      </x:c>
      <x:c r="H131" s="65" t="n">
        <x:v>0.21211792372733176</x:v>
      </x:c>
      <x:c r="I131" s="65" t="n">
        <x:v>0.0013278901697945289</x:v>
      </x:c>
      <x:c r="J131" s="65" t="n">
        <x:v>0.09227030779912057</x:v>
      </x:c>
      <x:c r="K131" s="65" t="n">
        <x:v>0.5469798657718121</x:v>
      </x:c>
      <x:c r="L131" s="65" t="n">
        <x:v>0.5304054054054054</x:v>
      </x:c>
      <x:c r="M131" s="65" t="n">
        <x:v>0.2246552927813782</x:v>
      </x:c>
      <x:c r="N131" s="63" t="n">
        <x:v>36.22755361096422</x:v>
      </x:c>
      <x:c r="O131" s="59" t="n">
        <x:v>122</x:v>
      </x:c>
      <x:c r="P131" s="63" t="n">
        <x:v>30.300652438313</x:v>
      </x:c>
      <x:c r="Q131" s="59" t="n">
        <x:v>127</x:v>
      </x:c>
      <x:c r="R131" s="60" t="b">
        <x:v>0</x:v>
      </x:c>
      <x:c r="S131" s="59"/>
      <x:c r="T131" s="63" t="n">
        <x:v>30.300652438313</x:v>
      </x:c>
    </x:row>
    <x:row r="132" ht="15" hidden="0">
      <x:c r="A132" s="59" t="str">
        <x:v>Peer 037</x:v>
      </x:c>
      <x:c r="B132" s="59" t="str">
        <x:v>Other peer</x:v>
      </x:c>
      <x:c r="C132" s="63" t="n">
        <x:v>12.35438</x:v>
      </x:c>
      <x:c r="D132" s="65" t="n">
        <x:v>0.11105502663832584</x:v>
      </x:c>
      <x:c r="E132" s="65" t="n">
        <x:v>0.017985038504562754</x:v>
      </x:c>
      <x:c r="F132" s="65" t="n">
        <x:v>0.11596219316550081</x:v>
      </x:c>
      <x:c r="G132" s="65" t="n">
        <x:v>0.00008236055556203426</x:v>
      </x:c>
      <x:c r="H132" s="65" t="n">
        <x:v>0.25801324564697437</x:v>
      </x:c>
      <x:c r="I132" s="65" t="n">
        <x:v>0.0025421811885560906</x:v>
      </x:c>
      <x:c r="J132" s="65" t="n">
        <x:v>0.17271464938671605</x:v>
      </x:c>
      <x:c r="K132" s="65" t="n">
        <x:v>0.49664429530201337</x:v>
      </x:c>
      <x:c r="L132" s="65" t="n">
        <x:v>0.25675675675675674</x:v>
      </x:c>
      <x:c r="M132" s="65" t="n">
        <x:v>0.29287837976368264</x:v>
      </x:c>
      <x:c r="N132" s="63" t="n">
        <x:v>31.84253676777881</x:v>
      </x:c>
      <x:c r="O132" s="59" t="n">
        <x:v>129</x:v>
      </x:c>
      <x:c r="P132" s="63" t="n">
        <x:v>29.947067648439518</x:v>
      </x:c>
      <x:c r="Q132" s="59" t="n">
        <x:v>128</x:v>
      </x:c>
      <x:c r="R132" s="60" t="b">
        <x:v>0</x:v>
      </x:c>
      <x:c r="S132" s="59"/>
      <x:c r="T132" s="63" t="n">
        <x:v>29.947067648439518</x:v>
      </x:c>
    </x:row>
    <x:row r="133" ht="15" hidden="0">
      <x:c r="A133" s="59" t="str">
        <x:v>Peer 136</x:v>
      </x:c>
      <x:c r="B133" s="59" t="str">
        <x:v>Other peer</x:v>
      </x:c>
      <x:c r="C133" s="63" t="n">
        <x:v>18.977114</x:v>
      </x:c>
      <x:c r="D133" s="65" t="n">
        <x:v>0.03249329692597094</x:v>
      </x:c>
      <x:c r="E133" s="65" t="n">
        <x:v>0.06817427560376146</x:v>
      </x:c>
      <x:c r="F133" s="65" t="n">
        <x:v>0.867124052687885</x:v>
      </x:c>
      <x:c r="G133" s="65" t="n">
        <x:v>0.0005481415891889612</x:v>
      </x:c>
      <x:c r="H133" s="65" t="n">
        <x:v>0</x:v>
      </x:c>
      <x:c r="I133" s="65" t="n">
        <x:v>0.0006173097078394651</x:v>
      </x:c>
      <x:c r="J133" s="65" t="n">
        <x:v>0.5725063642675307</x:v>
      </x:c>
      <x:c r="K133" s="65" t="n">
        <x:v>0.13758389261744966</x:v>
      </x:c>
      <x:c r="L133" s="65" t="n">
        <x:v>0.41216216216216217</x:v>
      </x:c>
      <x:c r="M133" s="65" t="n">
        <x:v>0.2806557573686855</x:v>
      </x:c>
      <x:c r="N133" s="63" t="n">
        <x:v>41.48807994778799</x:v>
      </x:c>
      <x:c r="O133" s="59" t="n">
        <x:v>107</x:v>
      </x:c>
      <x:c r="P133" s="63" t="n">
        <x:v>29.14939459970269</x:v>
      </x:c>
      <x:c r="Q133" s="59" t="n">
        <x:v>129</x:v>
      </x:c>
      <x:c r="R133" s="60" t="b">
        <x:v>0</x:v>
      </x:c>
      <x:c r="S133" s="59"/>
      <x:c r="T133" s="63" t="n">
        <x:v>29.14939459970269</x:v>
      </x:c>
    </x:row>
    <x:row r="134" ht="15" hidden="0">
      <x:c r="A134" s="59" t="str">
        <x:v>Peer 117</x:v>
      </x:c>
      <x:c r="B134" s="59" t="str">
        <x:v>Other peer</x:v>
      </x:c>
      <x:c r="C134" s="63" t="n">
        <x:v>39.416491</x:v>
      </x:c>
      <x:c r="D134" s="65" t="n">
        <x:v>0.08883018024105697</x:v>
      </x:c>
      <x:c r="E134" s="65" t="n">
        <x:v>0.09867430867958286</x:v>
      </x:c>
      <x:c r="F134" s="65" t="n">
        <x:v>0.10291400622140616</x:v>
      </x:c>
      <x:c r="G134" s="65" t="n">
        <x:v>0.00580772005504125</x:v>
      </x:c>
      <x:c r="H134" s="65" t="n">
        <x:v>0.17337480113510872</x:v>
      </x:c>
      <x:c r="I134" s="65" t="n">
        <x:v>0.03747803964387232</x:v>
      </x:c>
      <x:c r="J134" s="65" t="n">
        <x:v>0.23198333719046516</x:v>
      </x:c>
      <x:c r="K134" s="65" t="n">
        <x:v>0.18120805369127516</x:v>
      </x:c>
      <x:c r="L134" s="65" t="n">
        <x:v>0.9391891891891893</x:v>
      </x:c>
      <x:c r="M134" s="65" t="n">
        <x:v>0.205029873484551</x:v>
      </x:c>
      <x:c r="N134" s="63" t="n">
        <x:v>36.524544907937624</x:v>
      </x:c>
      <x:c r="O134" s="59" t="n">
        <x:v>121</x:v>
      </x:c>
      <x:c r="P134" s="63" t="n">
        <x:v>28.772012057155134</x:v>
      </x:c>
      <x:c r="Q134" s="59" t="n">
        <x:v>130</x:v>
      </x:c>
      <x:c r="R134" s="60" t="b">
        <x:v>0</x:v>
      </x:c>
      <x:c r="S134" s="59"/>
      <x:c r="T134" s="63" t="n">
        <x:v>28.772012057155134</x:v>
      </x:c>
    </x:row>
    <x:row r="135" ht="15" hidden="0">
      <x:c r="A135" s="59" t="str">
        <x:v>Peer 027</x:v>
      </x:c>
      <x:c r="B135" s="59" t="str">
        <x:v>Other peer</x:v>
      </x:c>
      <x:c r="C135" s="63" t="n">
        <x:v>129.592344</x:v>
      </x:c>
      <x:c r="D135" s="65" t="n">
        <x:v>0.08703413837471757</x:v>
      </x:c>
      <x:c r="E135" s="65" t="n">
        <x:v>0.06325812734739947</x:v>
      </x:c>
      <x:c r="F135" s="65" t="n">
        <x:v>0.09451710357210608</x:v>
      </x:c>
      <x:c r="G135" s="65" t="n">
        <x:v>0.005600783334772591</x:v>
      </x:c>
      <x:c r="H135" s="65" t="n">
        <x:v>0.07102582009037697</x:v>
      </x:c>
      <x:c r="I135" s="65" t="n">
        <x:v>0.011395755252953362</x:v>
      </x:c>
      <x:c r="J135" s="65" t="n">
        <x:v>0.20840083314047675</x:v>
      </x:c>
      <x:c r="K135" s="65" t="n">
        <x:v>0.18791946308724833</x:v>
      </x:c>
      <x:c r="L135" s="65" t="n">
        <x:v>0.9290540540540541</x:v>
      </x:c>
      <x:c r="M135" s="65" t="n">
        <x:v>0.19789535788060725</x:v>
      </x:c>
      <x:c r="N135" s="63" t="n">
        <x:v>35.897298341713736</x:v>
      </x:c>
      <x:c r="O135" s="59" t="n">
        <x:v>125</x:v>
      </x:c>
      <x:c r="P135" s="63" t="n">
        <x:v>28.25476270906733</x:v>
      </x:c>
      <x:c r="Q135" s="59" t="n">
        <x:v>131</x:v>
      </x:c>
      <x:c r="R135" s="60" t="b">
        <x:v>0</x:v>
      </x:c>
      <x:c r="S135" s="59"/>
      <x:c r="T135" s="63" t="n">
        <x:v>28.25476270906733</x:v>
      </x:c>
    </x:row>
    <x:row r="136" ht="15" hidden="0">
      <x:c r="A136" s="59" t="str">
        <x:v>Peer 082</x:v>
      </x:c>
      <x:c r="B136" s="59" t="str">
        <x:v>Other peer</x:v>
      </x:c>
      <x:c r="C136" s="63" t="n">
        <x:v>17.664869</x:v>
      </x:c>
      <x:c r="D136" s="65" t="n">
        <x:v>0.09801182222183476</x:v>
      </x:c>
      <x:c r="E136" s="65" t="n">
        <x:v>0.02852067569818944</x:v>
      </x:c>
      <x:c r="F136" s="65" t="n">
        <x:v>0.17822832425193755</x:v>
      </x:c>
      <x:c r="G136" s="65" t="n">
        <x:v>0</x:v>
      </x:c>
      <x:c r="H136" s="65" t="n">
        <x:v>0.09319204389564781</x:v>
      </x:c>
      <x:c r="I136" s="65" t="n">
        <x:v>0.004540127142184552</x:v>
      </x:c>
      <x:c r="J136" s="65" t="n">
        <x:v>0.25740569312659106</x:v>
      </x:c>
      <x:c r="K136" s="65" t="n">
        <x:v>0.36241610738255037</x:v>
      </x:c>
      <x:c r="L136" s="65" t="n">
        <x:v>0.5033783783783784</x:v>
      </x:c>
      <x:c r="M136" s="65" t="n">
        <x:v>0.3054307930138126</x:v>
      </x:c>
      <x:c r="N136" s="63" t="n">
        <x:v>36.1061019309847</x:v>
      </x:c>
      <x:c r="O136" s="59" t="n">
        <x:v>123</x:v>
      </x:c>
      <x:c r="P136" s="63" t="n">
        <x:v>28.062154361749258</x:v>
      </x:c>
      <x:c r="Q136" s="59" t="n">
        <x:v>132</x:v>
      </x:c>
      <x:c r="R136" s="60" t="b">
        <x:v>0</x:v>
      </x:c>
      <x:c r="S136" s="59"/>
      <x:c r="T136" s="63" t="n">
        <x:v>28.062154361749258</x:v>
      </x:c>
    </x:row>
    <x:row r="137" ht="15" hidden="0">
      <x:c r="A137" s="59" t="str">
        <x:v>Peer 110</x:v>
      </x:c>
      <x:c r="B137" s="59" t="str">
        <x:v>Other peer</x:v>
      </x:c>
      <x:c r="C137" s="63" t="n">
        <x:v>42.076662</x:v>
      </x:c>
      <x:c r="D137" s="65" t="n">
        <x:v>0.05859046043148575</x:v>
      </x:c>
      <x:c r="E137" s="65" t="n">
        <x:v>0.03124261615619604</x:v>
      </x:c>
      <x:c r="F137" s="65" t="n">
        <x:v>0.19260746016402155</x:v>
      </x:c>
      <x:c r="G137" s="65" t="n">
        <x:v>0</x:v>
      </x:c>
      <x:c r="H137" s="65" t="n">
        <x:v>0.06183053560271783</x:v>
      </x:c>
      <x:c r="I137" s="65" t="n">
        <x:v>0.0018933541569547093</x:v>
      </x:c>
      <x:c r="J137" s="65" t="n">
        <x:v>0.2943184448044434</x:v>
      </x:c>
      <x:c r="K137" s="65" t="n">
        <x:v>0.32550335570469796</x:v>
      </x:c>
      <x:c r="L137" s="65" t="n">
        <x:v>0.13851351351351351</x:v>
      </x:c>
      <x:c r="M137" s="65" t="n">
        <x:v>0.3095184024087005</x:v>
      </x:c>
      <x:c r="N137" s="63" t="n">
        <x:v>34.55651206445228</x:v>
      </x:c>
      <x:c r="O137" s="59" t="n">
        <x:v>126</x:v>
      </x:c>
      <x:c r="P137" s="63" t="n">
        <x:v>26.87477778190682</x:v>
      </x:c>
      <x:c r="Q137" s="59" t="n">
        <x:v>133</x:v>
      </x:c>
      <x:c r="R137" s="60" t="b">
        <x:v>0</x:v>
      </x:c>
      <x:c r="S137" s="59"/>
      <x:c r="T137" s="63" t="n">
        <x:v>26.87477778190682</x:v>
      </x:c>
    </x:row>
    <x:row r="138" ht="15" hidden="0">
      <x:c r="A138" s="59" t="str">
        <x:v>Peer 131</x:v>
      </x:c>
      <x:c r="B138" s="59" t="str">
        <x:v>Other peer</x:v>
      </x:c>
      <x:c r="C138" s="63" t="n">
        <x:v>25.971989</x:v>
      </x:c>
      <x:c r="D138" s="65" t="n">
        <x:v>0.10949896829233988</x:v>
      </x:c>
      <x:c r="E138" s="65" t="n">
        <x:v>0.10611948126113868</x:v>
      </x:c>
      <x:c r="F138" s="65" t="n">
        <x:v>0.709110688442075</x:v>
      </x:c>
      <x:c r="G138" s="65" t="n">
        <x:v>0</x:v>
      </x:c>
      <x:c r="H138" s="65" t="n">
        <x:v>0.09700374330065167</x:v>
      </x:c>
      <x:c r="I138" s="65" t="n">
        <x:v>0.15949649752816536</x:v>
      </x:c>
      <x:c r="J138" s="65" t="n">
        <x:v>0.5157949548715576</x:v>
      </x:c>
      <x:c r="K138" s="65" t="n">
        <x:v>0.16442953020134227</x:v>
      </x:c>
      <x:c r="L138" s="65" t="n">
        <x:v>0.6722972972972973</x:v>
      </x:c>
      <x:c r="M138" s="65" t="n">
        <x:v>0.2912248651982738</x:v>
      </x:c>
      <x:c r="N138" s="63" t="n">
        <x:v>38.44577388617228</x:v>
      </x:c>
      <x:c r="O138" s="59" t="n">
        <x:v>116</x:v>
      </x:c>
      <x:c r="P138" s="63" t="n">
        <x:v>26.85359545441863</x:v>
      </x:c>
      <x:c r="Q138" s="59" t="n">
        <x:v>134</x:v>
      </x:c>
      <x:c r="R138" s="60" t="b">
        <x:v>0</x:v>
      </x:c>
      <x:c r="S138" s="59"/>
      <x:c r="T138" s="63" t="n">
        <x:v>26.85359545441863</x:v>
      </x:c>
    </x:row>
    <x:row r="139" ht="15" hidden="0">
      <x:c r="A139" s="59" t="str">
        <x:v>Peer 111</x:v>
      </x:c>
      <x:c r="B139" s="59" t="str">
        <x:v>Other peer</x:v>
      </x:c>
      <x:c r="C139" s="63" t="n">
        <x:v>35.996617</x:v>
      </x:c>
      <x:c r="D139" s="65" t="n">
        <x:v>0.09588631620577011</x:v>
      </x:c>
      <x:c r="E139" s="65" t="n">
        <x:v>0.1784537696973024</x:v>
      </x:c>
      <x:c r="F139" s="65" t="n">
        <x:v>0.5299801645249053</x:v>
      </x:c>
      <x:c r="G139" s="65" t="n">
        <x:v>0.0006208745378569775</x:v>
      </x:c>
      <x:c r="H139" s="65" t="n">
        <x:v>0.012142691844850602</x:v>
      </x:c>
      <x:c r="I139" s="65" t="n">
        <x:v>0.01622357474758938</x:v>
      </x:c>
      <x:c r="J139" s="65" t="n">
        <x:v>0.5591761166396667</x:v>
      </x:c>
      <x:c r="K139" s="65" t="n">
        <x:v>0.060402684563758385</x:v>
      </x:c>
      <x:c r="L139" s="65" t="n">
        <x:v>0.9560810810810811</x:v>
      </x:c>
      <x:c r="M139" s="65" t="n">
        <x:v>0.18378176892437714</x:v>
      </x:c>
      <x:c r="N139" s="63" t="n">
        <x:v>41.47841023446049</x:v>
      </x:c>
      <x:c r="O139" s="59" t="n">
        <x:v>108</x:v>
      </x:c>
      <x:c r="P139" s="63" t="n">
        <x:v>26.00892206137501</x:v>
      </x:c>
      <x:c r="Q139" s="59" t="n">
        <x:v>135</x:v>
      </x:c>
      <x:c r="R139" s="60" t="b">
        <x:v>0</x:v>
      </x:c>
      <x:c r="S139" s="59"/>
      <x:c r="T139" s="63" t="n">
        <x:v>26.00892206137501</x:v>
      </x:c>
    </x:row>
    <x:row r="140" ht="15" hidden="0">
      <x:c r="A140" s="59" t="str">
        <x:v>Peer 083</x:v>
      </x:c>
      <x:c r="B140" s="59" t="str">
        <x:v>Other peer</x:v>
      </x:c>
      <x:c r="C140" s="63" t="n">
        <x:v>155.378079</x:v>
      </x:c>
      <x:c r="D140" s="65" t="n">
        <x:v>0.09172067315879223</x:v>
      </x:c>
      <x:c r="E140" s="65" t="n">
        <x:v>0.1624520663561557</x:v>
      </x:c>
      <x:c r="F140" s="65" t="n">
        <x:v>0.013642606560993717</x:v>
      </x:c>
      <x:c r="G140" s="65" t="n">
        <x:v>0.006608341562944562</x:v>
      </x:c>
      <x:c r="H140" s="65" t="n">
        <x:v>0.20704699510477004</x:v>
      </x:c>
      <x:c r="I140" s="65" t="n">
        <x:v>0.0046225517181269086</x:v>
      </x:c>
      <x:c r="J140" s="65" t="n">
        <x:v>0.16841009025688497</x:v>
      </x:c>
      <x:c r="K140" s="65" t="n">
        <x:v>0.14093959731543626</x:v>
      </x:c>
      <x:c r="L140" s="65" t="n">
        <x:v>0.7162162162162162</x:v>
      </x:c>
      <x:c r="M140" s="65" t="n">
        <x:v>0.154063786480346</x:v>
      </x:c>
      <x:c r="N140" s="63" t="n">
        <x:v>28.748483771066347</x:v>
      </x:c>
      <x:c r="O140" s="59" t="n">
        <x:v>134</x:v>
      </x:c>
      <x:c r="P140" s="63" t="n">
        <x:v>24.81544637328925</x:v>
      </x:c>
      <x:c r="Q140" s="59" t="n">
        <x:v>136</x:v>
      </x:c>
      <x:c r="R140" s="60" t="b">
        <x:v>0</x:v>
      </x:c>
      <x:c r="S140" s="59"/>
      <x:c r="T140" s="63" t="n">
        <x:v>24.81544637328925</x:v>
      </x:c>
    </x:row>
    <x:row r="141" ht="15" hidden="0">
      <x:c r="A141" s="59" t="str">
        <x:v>Peer 128</x:v>
      </x:c>
      <x:c r="B141" s="59" t="str">
        <x:v>Other peer</x:v>
      </x:c>
      <x:c r="C141" s="63" t="n">
        <x:v>14.890468</x:v>
      </x:c>
      <x:c r="D141" s="65" t="n">
        <x:v>0.13697695733942009</x:v>
      </x:c>
      <x:c r="E141" s="65" t="n">
        <x:v>0.1629766774288088</x:v>
      </x:c>
      <x:c r="F141" s="65" t="n">
        <x:v>0.006815836815874424</x:v>
      </x:c>
      <x:c r="G141" s="65" t="n">
        <x:v>0.00759933929873297</x:v>
      </x:c>
      <x:c r="H141" s="65" t="n">
        <x:v>0.0776851470880745</x:v>
      </x:c>
      <x:c r="I141" s="65" t="n">
        <x:v>0.03340840435487001</x:v>
      </x:c>
      <x:c r="J141" s="65" t="n">
        <x:v>0.17204350844711874</x:v>
      </x:c>
      <x:c r="K141" s="65" t="n">
        <x:v>0.11073825503355705</x:v>
      </x:c>
      <x:c r="L141" s="65" t="n">
        <x:v>0.9831081081081081</x:v>
      </x:c>
      <x:c r="M141" s="65" t="n">
        <x:v>0.13802825042463213</x:v>
      </x:c>
      <x:c r="N141" s="63" t="n">
        <x:v>26.403946558273443</x:v>
      </x:c>
      <x:c r="O141" s="59" t="n">
        <x:v>137</x:v>
      </x:c>
      <x:c r="P141" s="63" t="n">
        <x:v>23.094180068820272</x:v>
      </x:c>
      <x:c r="Q141" s="59" t="n">
        <x:v>137</x:v>
      </x:c>
      <x:c r="R141" s="60" t="b">
        <x:v>0</x:v>
      </x:c>
      <x:c r="S141" s="59"/>
      <x:c r="T141" s="63" t="n">
        <x:v>23.094180068820272</x:v>
      </x:c>
    </x:row>
    <x:row r="142" ht="15" hidden="0">
      <x:c r="A142" s="59" t="str">
        <x:v>Peer 080</x:v>
      </x:c>
      <x:c r="B142" s="59" t="str">
        <x:v>Other peer</x:v>
      </x:c>
      <x:c r="C142" s="63" t="n">
        <x:v>96.3</x:v>
      </x:c>
      <x:c r="D142" s="65" t="n">
        <x:v>0.11784008307372794</x:v>
      </x:c>
      <x:c r="E142" s="65" t="n">
        <x:v>0.09424714434060229</x:v>
      </x:c>
      <x:c r="F142" s="65" t="n">
        <x:v>0.05035306334371755</x:v>
      </x:c>
      <x:c r="G142" s="65" t="n">
        <x:v>0.0026436376454000705</x:v>
      </x:c>
      <x:c r="H142" s="65" t="n">
        <x:v>0.1107700179073932</x:v>
      </x:c>
      <x:c r="I142" s="65" t="n">
        <x:v>0.017381015290238833</x:v>
      </x:c>
      <x:c r="J142" s="65" t="n">
        <x:v>0.14380930340199027</x:v>
      </x:c>
      <x:c r="K142" s="65" t="n">
        <x:v>0.17785234899328858</x:v>
      </x:c>
      <x:c r="L142" s="65" t="n">
        <x:v>0.9628378378378379</x:v>
      </x:c>
      <x:c r="M142" s="65" t="n">
        <x:v>0.1599275536520599</x:v>
      </x:c>
      <x:c r="N142" s="63" t="n">
        <x:v>29.112020099379244</x:v>
      </x:c>
      <x:c r="O142" s="59" t="n">
        <x:v>133</x:v>
      </x:c>
      <x:c r="P142" s="63" t="n">
        <x:v>22.34032646912694</x:v>
      </x:c>
      <x:c r="Q142" s="59" t="n">
        <x:v>138</x:v>
      </x:c>
      <x:c r="R142" s="60" t="b">
        <x:v>0</x:v>
      </x:c>
      <x:c r="S142" s="59"/>
      <x:c r="T142" s="63" t="n">
        <x:v>22.34032646912694</x:v>
      </x:c>
    </x:row>
    <x:row r="143" ht="15" hidden="0">
      <x:c r="A143" s="59" t="str">
        <x:v>Peer 084</x:v>
      </x:c>
      <x:c r="B143" s="59" t="str">
        <x:v>Other peer</x:v>
      </x:c>
      <x:c r="C143" s="63" t="n">
        <x:v>10.406351</x:v>
      </x:c>
      <x:c r="D143" s="65" t="n">
        <x:v>0.09924689259472412</x:v>
      </x:c>
      <x:c r="E143" s="65" t="n">
        <x:v>0.2740023856585272</x:v>
      </x:c>
      <x:c r="F143" s="65" t="n">
        <x:v>0.12227379222553612</x:v>
      </x:c>
      <x:c r="G143" s="65" t="n">
        <x:v>0</x:v>
      </x:c>
      <x:c r="H143" s="65" t="n">
        <x:v>0.2719775495502037</x:v>
      </x:c>
      <x:c r="I143" s="65" t="n">
        <x:v>0.0038681441286455964</x:v>
      </x:c>
      <x:c r="J143" s="65" t="n">
        <x:v>0.15673455218699375</x:v>
      </x:c>
      <x:c r="K143" s="65" t="n">
        <x:v>0.1342281879194631</x:v>
      </x:c>
      <x:c r="L143" s="65" t="n">
        <x:v>0.5641891891891893</x:v>
      </x:c>
      <x:c r="M143" s="65" t="n">
        <x:v>0.14504549260293714</x:v>
      </x:c>
      <x:c r="N143" s="63" t="n">
        <x:v>24.33291967145491</x:v>
      </x:c>
      <x:c r="O143" s="59" t="n">
        <x:v>140</x:v>
      </x:c>
      <x:c r="P143" s="63" t="n">
        <x:v>20.555632701499253</x:v>
      </x:c>
      <x:c r="Q143" s="59" t="n">
        <x:v>139</x:v>
      </x:c>
      <x:c r="R143" s="60" t="b">
        <x:v>0</x:v>
      </x:c>
      <x:c r="S143" s="59"/>
      <x:c r="T143" s="63" t="n">
        <x:v>20.555632701499253</x:v>
      </x:c>
    </x:row>
    <x:row r="144" ht="15" hidden="0">
      <x:c r="A144" s="59" t="str">
        <x:v>Peer 092</x:v>
      </x:c>
      <x:c r="B144" s="59" t="str">
        <x:v>Other peer</x:v>
      </x:c>
      <x:c r="C144" s="63" t="n">
        <x:v>16.117865</x:v>
      </x:c>
      <x:c r="D144" s="65" t="n">
        <x:v>0.098572112373444</x:v>
      </x:c>
      <x:c r="E144" s="65" t="n">
        <x:v>0.027413184066251952</x:v>
      </x:c>
      <x:c r="F144" s="65" t="n">
        <x:v>0.029127927303026796</x:v>
      </x:c>
      <x:c r="G144" s="65" t="n">
        <x:v>0</x:v>
      </x:c>
      <x:c r="H144" s="65" t="n">
        <x:v>0.038820582036418694</x:v>
      </x:c>
      <x:c r="I144" s="65" t="n">
        <x:v>0.0023603550999308333</x:v>
      </x:c>
      <x:c r="J144" s="65" t="n">
        <x:v>0.059419115945383016</x:v>
      </x:c>
      <x:c r="K144" s="65" t="n">
        <x:v>0.33557046979865773</x:v>
      </x:c>
      <x:c r="L144" s="65" t="n">
        <x:v>0.24662162162162163</x:v>
      </x:c>
      <x:c r="M144" s="65" t="n">
        <x:v>0.14120658856021237</x:v>
      </x:c>
      <x:c r="N144" s="63" t="n">
        <x:v>22.83952451815218</x:v>
      </x:c>
      <x:c r="O144" s="59" t="n">
        <x:v>142</x:v>
      </x:c>
      <x:c r="P144" s="63" t="n">
        <x:v>17.73607579692402</x:v>
      </x:c>
      <x:c r="Q144" s="59" t="n">
        <x:v>140</x:v>
      </x:c>
      <x:c r="R144" s="60" t="b">
        <x:v>0</x:v>
      </x:c>
      <x:c r="S144" s="59"/>
      <x:c r="T144" s="63" t="n">
        <x:v>17.73607579692402</x:v>
      </x:c>
    </x:row>
    <x:row r="145" ht="15" hidden="0">
      <x:c r="A145" s="59" t="str">
        <x:v>Peer 122</x:v>
      </x:c>
      <x:c r="B145" s="59" t="str">
        <x:v>Other peer</x:v>
      </x:c>
      <x:c r="C145" s="63" t="n">
        <x:v>17.893084</x:v>
      </x:c>
      <x:c r="D145" s="65" t="n">
        <x:v>0.0987946516095269</x:v>
      </x:c>
      <x:c r="E145" s="65" t="n">
        <x:v>0.0928104959435724</x:v>
      </x:c>
      <x:c r="F145" s="65" t="n">
        <x:v>0.014287754978403946</x:v>
      </x:c>
      <x:c r="G145" s="65" t="n">
        <x:v>0</x:v>
      </x:c>
      <x:c r="H145" s="65" t="n">
        <x:v>0.12353243227819422</x:v>
      </x:c>
      <x:c r="I145" s="65" t="n">
        <x:v>0.0060838797458434846</x:v>
      </x:c>
      <x:c r="J145" s="65" t="n">
        <x:v>0.049352001851423286</x:v>
      </x:c>
      <x:c r="K145" s="65" t="n">
        <x:v>0.18456375838926176</x:v>
      </x:c>
      <x:c r="L145" s="65" t="n">
        <x:v>0.6587837837837838</x:v>
      </x:c>
      <x:c r="M145" s="65" t="n">
        <x:v>0.09543893830996071</x:v>
      </x:c>
      <x:c r="N145" s="63" t="n">
        <x:v>23.43426191448879</x:v>
      </x:c>
      <x:c r="O145" s="59" t="n">
        <x:v>141</x:v>
      </x:c>
      <x:c r="P145" s="63" t="n">
        <x:v>17.53832601189434</x:v>
      </x:c>
      <x:c r="Q145" s="59" t="n">
        <x:v>141</x:v>
      </x:c>
      <x:c r="R145" s="60" t="b">
        <x:v>0</x:v>
      </x:c>
      <x:c r="S145" s="59"/>
      <x:c r="T145" s="63" t="n">
        <x:v>17.53832601189434</x:v>
      </x:c>
    </x:row>
    <x:row r="146" ht="15" hidden="0">
      <x:c r="A146" s="59" t="str">
        <x:v>Peer 135</x:v>
      </x:c>
      <x:c r="B146" s="59" t="str">
        <x:v>Other peer</x:v>
      </x:c>
      <x:c r="C146" s="63" t="n">
        <x:v>28.714313</x:v>
      </x:c>
      <x:c r="D146" s="65" t="n">
        <x:v>0.08077954015476532</x:v>
      </x:c>
      <x:c r="E146" s="65" t="n">
        <x:v>0.16626728976590874</x:v>
      </x:c>
      <x:c r="F146" s="65" t="n">
        <x:v>0.08156521104997358</x:v>
      </x:c>
      <x:c r="G146" s="65" t="n">
        <x:v>0</x:v>
      </x:c>
      <x:c r="H146" s="65" t="n">
        <x:v>0.05065177610738972</x:v>
      </x:c>
      <x:c r="I146" s="65" t="n">
        <x:v>0.010113453288173596</x:v>
      </x:c>
      <x:c r="J146" s="65" t="n">
        <x:v>0.08290904883128905</x:v>
      </x:c>
      <x:c r="K146" s="65" t="n">
        <x:v>0.08389261744966442</x:v>
      </x:c>
      <x:c r="L146" s="65" t="n">
        <x:v>0.9324324324324325</x:v>
      </x:c>
      <x:c r="M146" s="65" t="n">
        <x:v>0.08339938319147738</x:v>
      </x:c>
      <x:c r="N146" s="63" t="n">
        <x:v>27.89669963658035</x:v>
      </x:c>
      <x:c r="O146" s="59" t="n">
        <x:v>135</x:v>
      </x:c>
      <x:c r="P146" s="63" t="n">
        <x:v>15.512110020391153</x:v>
      </x:c>
      <x:c r="Q146" s="59" t="n">
        <x:v>142</x:v>
      </x:c>
      <x:c r="R146" s="60" t="b">
        <x:v>0</x:v>
      </x:c>
      <x:c r="S146" s="59"/>
      <x:c r="T146" s="63" t="n">
        <x:v>15.512110020391153</x:v>
      </x:c>
    </x:row>
    <x:row r="147" ht="15" hidden="0">
      <x:c r="A147" s="59" t="str">
        <x:v>Peer 124</x:v>
      </x:c>
      <x:c r="B147" s="59" t="str">
        <x:v>Other peer</x:v>
      </x:c>
      <x:c r="C147" s="63" t="n">
        <x:v>37.462</x:v>
      </x:c>
      <x:c r="D147" s="65" t="n">
        <x:v>0.14948481127542576</x:v>
      </x:c>
      <x:c r="E147" s="65" t="n">
        <x:v>0.14347872510810955</x:v>
      </x:c>
      <x:c r="F147" s="65" t="n">
        <x:v>0.003550264267791362</x:v>
      </x:c>
      <x:c r="G147" s="65" t="n">
        <x:v>0</x:v>
      </x:c>
      <x:c r="H147" s="65" t="n">
        <x:v>0.058471714044469464</x:v>
      </x:c>
      <x:c r="I147" s="65" t="n">
        <x:v>0.012326234335410533</x:v>
      </x:c>
      <x:c r="J147" s="65" t="n">
        <x:v>0.032573478361490396</x:v>
      </x:c>
      <x:c r="K147" s="65" t="n">
        <x:v>0.10738255033557048</x:v>
      </x:c>
      <x:c r="L147" s="65" t="n">
        <x:v>0.9189189189189189</x:v>
      </x:c>
      <x:c r="M147" s="65" t="n">
        <x:v>0.05914239748063447</x:v>
      </x:c>
      <x:c r="N147" s="63" t="n">
        <x:v>19.42132474483616</x:v>
      </x:c>
      <x:c r="O147" s="59" t="n">
        <x:v>143</x:v>
      </x:c>
      <x:c r="P147" s="63" t="n">
        <x:v>11.84392021141395</x:v>
      </x:c>
      <x:c r="Q147" s="59" t="n">
        <x:v>143</x:v>
      </x:c>
      <x:c r="R147" s="60" t="b">
        <x:v>0</x:v>
      </x:c>
      <x:c r="S147" s="59"/>
      <x:c r="T147" s="63" t="n">
        <x:v>11.84392021141395</x:v>
      </x:c>
    </x:row>
    <x:row r="148" ht="15" hidden="0">
      <x:c r="A148" s="59" t="str">
        <x:v>Peer 077</x:v>
      </x:c>
      <x:c r="B148" s="59" t="str">
        <x:v>Other peer</x:v>
      </x:c>
      <x:c r="C148" s="63" t="n">
        <x:v>18.204</x:v>
      </x:c>
      <x:c r="D148" s="65" t="n">
        <x:v>0.12601626016260162</x:v>
      </x:c>
      <x:c r="E148" s="65" t="n">
        <x:v>0.2769720940452648</x:v>
      </x:c>
      <x:c r="F148" s="65" t="n">
        <x:v>0</x:v>
      </x:c>
      <x:c r="G148" s="65" t="n">
        <x:v>0</x:v>
      </x:c>
      <x:c r="H148" s="65" t="n">
        <x:v>0.02574370709382151</x:v>
      </x:c>
      <x:c r="I148" s="65" t="n">
        <x:v>0.0075118810363329755</x:v>
      </x:c>
      <x:c r="J148" s="65" t="n">
        <x:v>0.029217773663503817</x:v>
      </x:c>
      <x:c r="K148" s="65" t="n">
        <x:v>0.040268456375838924</x:v>
      </x:c>
      <x:c r="L148" s="65" t="n">
        <x:v>0.75</x:v>
      </x:c>
      <x:c r="M148" s="65" t="n">
        <x:v>0.03430094232186543</x:v>
      </x:c>
      <x:c r="N148" s="63" t="n">
        <x:v>15.642204484284125</x:v>
      </x:c>
      <x:c r="O148" s="59" t="n">
        <x:v>144</x:v>
      </x:c>
      <x:c r="P148" s="63" t="n">
        <x:v>8.329272722854805</x:v>
      </x:c>
      <x:c r="Q148" s="59" t="n">
        <x:v>144</x:v>
      </x:c>
      <x:c r="R148" s="60" t="b">
        <x:v>0</x:v>
      </x:c>
      <x:c r="S148" s="59"/>
      <x:c r="T148" s="63" t="n">
        <x:v>8.329272722854805</x:v>
      </x:c>
    </x:row>
    <x:row r="149" ht="15" hidden="0">
      <x:c r="A149" s="59" t="str">
        <x:v>Peer 105</x:v>
      </x:c>
      <x:c r="B149" s="59" t="str">
        <x:v>Other peer</x:v>
      </x:c>
      <x:c r="C149" s="63" t="n">
        <x:v>55.267334</x:v>
      </x:c>
      <x:c r="D149" s="65"/>
      <x:c r="E149" s="65" t="n">
        <x:v>0.5654832382542643</x:v>
      </x:c>
      <x:c r="F149" s="65" t="n">
        <x:v>0.10098837045405519</x:v>
      </x:c>
      <x:c r="G149" s="65"/>
      <x:c r="H149" s="65" t="n">
        <x:v>0.3824566903429769</x:v>
      </x:c>
      <x:c r="I149" s="65" t="n">
        <x:v>0.013088409269095935</x:v>
      </x:c>
      <x:c r="J149" s="65" t="n">
        <x:v>0.16778523489932887</x:v>
      </x:c>
      <x:c r="K149" s="65" t="n">
        <x:v>0.21476510067114093</x:v>
      </x:c>
      <x:c r="L149" s="65" t="n">
        <x:v>0.4695945945945946</x:v>
      </x:c>
      <x:c r="M149" s="65" t="n">
        <x:v>0.18982732380846914</x:v>
      </x:c>
      <x:c r="N149" s="63"/>
      <x:c r="O149" s="59"/>
      <x:c r="P149" s="63"/>
      <x:c r="Q149" s="59"/>
      <x:c r="R149" s="60" t="b">
        <x:v>0</x:v>
      </x:c>
      <x:c r="S149" s="59"/>
      <x:c r="T149" s="63"/>
    </x:row>
    <x:row r="150" ht="15" hidden="0">
      <x:c r="A150" s="59" t="str">
        <x:v>Peer 108</x:v>
      </x:c>
      <x:c r="B150" s="59" t="str">
        <x:v>Other peer</x:v>
      </x:c>
      <x:c r="C150" s="63" t="n">
        <x:v>52.969707</x:v>
      </x:c>
      <x:c r="D150" s="65"/>
      <x:c r="E150" s="65" t="n">
        <x:v>0.37330068674912625</x:v>
      </x:c>
      <x:c r="F150" s="65" t="n">
        <x:v>0.18867761530189323</x:v>
      </x:c>
      <x:c r="G150" s="65"/>
      <x:c r="H150" s="65" t="n">
        <x:v>0</x:v>
      </x:c>
      <x:c r="I150" s="65" t="n">
        <x:v>0.0002811101551503025</x:v>
      </x:c>
      <x:c r="J150" s="65" t="n">
        <x:v>0.5234899328859061</x:v>
      </x:c>
      <x:c r="K150" s="65" t="n">
        <x:v>0.020134228187919462</x:v>
      </x:c>
      <x:c r="L150" s="65" t="n">
        <x:v>0.033783783783783786</x:v>
      </x:c>
      <x:c r="M150" s="65" t="n">
        <x:v>0.10266482242133124</x:v>
      </x:c>
      <x:c r="N150" s="63"/>
      <x:c r="O150" s="59"/>
      <x:c r="P150" s="63"/>
      <x:c r="Q150" s="59"/>
      <x:c r="R150" s="60" t="b">
        <x:v>0</x:v>
      </x:c>
      <x:c r="S150" s="59"/>
      <x:c r="T150" s="63"/>
    </x:row>
    <x:row r="151" ht="15" hidden="0">
      <x:c r="A151" s="59" t="str">
        <x:v>Peer 107</x:v>
      </x:c>
      <x:c r="B151" s="59" t="str">
        <x:v>Other peer</x:v>
      </x:c>
      <x:c r="C151" s="63" t="n">
        <x:v>15.842594</x:v>
      </x:c>
      <x:c r="D151" s="65"/>
      <x:c r="E151" s="65" t="n">
        <x:v>0.24267143373111752</x:v>
      </x:c>
      <x:c r="F151" s="65" t="n">
        <x:v>0.010658986779564002</x:v>
      </x:c>
      <x:c r="G151" s="65"/>
      <x:c r="H151" s="65" t="n">
        <x:v>0</x:v>
      </x:c>
      <x:c r="I151" s="65" t="n">
        <x:v>0</x:v>
      </x:c>
      <x:c r="J151" s="65" t="n">
        <x:v>0.03355704697986577</x:v>
      </x:c>
      <x:c r="K151" s="65" t="n">
        <x:v>0.03355704697986577</x:v>
      </x:c>
      <x:c r="L151" s="65" t="n">
        <x:v>0.018581081081081082</x:v>
      </x:c>
      <x:c r="M151" s="65" t="n">
        <x:v>0.03355704697986577</x:v>
      </x:c>
      <x:c r="N151" s="63"/>
      <x:c r="O151" s="59"/>
      <x:c r="P151" s="63"/>
      <x:c r="Q151" s="59"/>
      <x:c r="R151" s="60" t="b">
        <x:v>0</x:v>
      </x:c>
      <x:c r="S151" s="59"/>
      <x:c r="T151" s="63"/>
    </x:row>
    <x:row r="152" ht="15" hidden="0">
      <x:c r="A152" s="59" t="str">
        <x:v>Peer 106</x:v>
      </x:c>
      <x:c r="B152" s="59" t="str">
        <x:v>Other peer</x:v>
      </x:c>
      <x:c r="C152" s="63" t="n">
        <x:v>14.17268</x:v>
      </x:c>
      <x:c r="D152" s="65"/>
      <x:c r="E152" s="65" t="n">
        <x:v>0.12084877383811672</x:v>
      </x:c>
      <x:c r="F152" s="65" t="n">
        <x:v>0.06339979453427298</x:v>
      </x:c>
      <x:c r="G152" s="65"/>
      <x:c r="H152" s="65" t="n">
        <x:v>0.02876054517363362</x:v>
      </x:c>
      <x:c r="I152" s="65" t="n">
        <x:v>0</x:v>
      </x:c>
      <x:c r="J152" s="65" t="n">
        <x:v>0.087248322147651</x:v>
      </x:c>
      <x:c r="K152" s="65" t="n">
        <x:v>0.10402684563758388</x:v>
      </x:c>
      <x:c r="L152" s="65" t="n">
        <x:v>0.018581081081081082</x:v>
      </x:c>
      <x:c r="M152" s="65" t="n">
        <x:v>0.09526892326562676</x:v>
      </x:c>
      <x:c r="N152" s="63"/>
      <x:c r="O152" s="59"/>
      <x:c r="P152" s="63"/>
      <x:c r="Q152" s="59"/>
      <x:c r="R152" s="60" t="b">
        <x:v>0</x:v>
      </x:c>
      <x:c r="S152" s="59"/>
      <x:c r="T152" s="63"/>
    </x:row>
    <x:row r="153" ht="15" hidden="0">
      <x:c r="A153" s="61" t="str">
        <x:v>Peer 141</x:v>
      </x:c>
      <x:c r="B153" s="61" t="str">
        <x:v>Other peer</x:v>
      </x:c>
      <x:c r="C153" s="64" t="n">
        <x:v>13.041</x:v>
      </x:c>
      <x:c r="D153" s="66" t="n">
        <x:v>0.020243846330802853</x:v>
      </x:c>
      <x:c r="E153" s="66" t="n">
        <x:v>0.1547427344528794</x:v>
      </x:c>
      <x:c r="F153" s="66" t="n">
        <x:v>0.82110267617514</x:v>
      </x:c>
      <x:c r="G153" s="66" t="n">
        <x:v>1.1553030303030303</x:v>
      </x:c>
      <x:c r="H153" s="66" t="n">
        <x:v>0.05745231928420061</x:v>
      </x:c>
      <x:c r="I153" s="66"/>
      <x:c r="J153" s="66" t="n">
        <x:v>0.9898403147419579</x:v>
      </x:c>
      <x:c r="K153" s="66" t="n">
        <x:v>0.10067114093959731</x:v>
      </x:c>
      <x:c r="L153" s="66"/>
      <x:c r="M153" s="66" t="n">
        <x:v>0.31567127495716646</x:v>
      </x:c>
      <x:c r="N153" s="64"/>
      <x:c r="O153" s="61"/>
      <x:c r="P153" s="64"/>
      <x:c r="Q153" s="61"/>
      <x:c r="R153" s="62" t="b">
        <x:v>0</x:v>
      </x:c>
      <x:c r="S153" s="61"/>
      <x:c r="T153" s="64"/>
    </x:row>
    <x:row r="154" ht="15" hidden="0">
      <x:c r="A154"/>
      <x:c r="B154"/>
      <x:c r="C154"/>
      <x:c r="D154"/>
      <x:c r="E154"/>
      <x:c r="F154"/>
      <x:c r="G154"/>
      <x:c r="H154"/>
      <x:c r="I154"/>
      <x:c r="J154"/>
      <x:c r="K154"/>
      <x:c r="L154"/>
      <x:c r="M154"/>
      <x:c r="N154"/>
      <x:c r="O154"/>
      <x:c r="P154"/>
      <x:c r="Q154"/>
      <x:c r="R154"/>
      <x:c r="S154"/>
      <x:c r="T154"/>
    </x:row>
    <x:row r="155" ht="15" hidden="0">
      <x:c r="A155"/>
      <x:c r="B155"/>
      <x:c r="C155"/>
      <x:c r="D155"/>
      <x:c r="E155"/>
      <x:c r="F155"/>
      <x:c r="G155"/>
      <x:c r="H155"/>
      <x:c r="I155"/>
      <x:c r="J155"/>
      <x:c r="K155"/>
      <x:c r="L155"/>
      <x:c r="M155"/>
      <x:c r="N155"/>
      <x:c r="O155"/>
      <x:c r="P155"/>
      <x:c r="Q155"/>
      <x:c r="R155"/>
      <x:c r="S155"/>
      <x:c r="T155"/>
    </x:row>
    <x:row r="156" ht="15" hidden="0">
      <x:c r="A156"/>
      <x:c r="B156"/>
      <x:c r="C156"/>
      <x:c r="D156"/>
      <x:c r="E156"/>
      <x:c r="F156"/>
      <x:c r="G156"/>
      <x:c r="H156"/>
      <x:c r="I156"/>
      <x:c r="J156"/>
      <x:c r="K156"/>
      <x:c r="L156"/>
      <x:c r="M156"/>
      <x:c r="N156"/>
      <x:c r="O156"/>
      <x:c r="P156"/>
      <x:c r="Q156"/>
      <x:c r="R156"/>
      <x:c r="S156"/>
      <x:c r="T156"/>
    </x:row>
    <x:row r="157" ht="15" hidden="0">
      <x:c r="A157"/>
      <x:c r="B157"/>
      <x:c r="C157"/>
      <x:c r="D157"/>
      <x:c r="E157"/>
      <x:c r="F157"/>
      <x:c r="G157"/>
      <x:c r="H157"/>
      <x:c r="I157"/>
      <x:c r="J157"/>
      <x:c r="K157"/>
      <x:c r="L157"/>
      <x:c r="M157"/>
      <x:c r="N157"/>
      <x:c r="O157"/>
      <x:c r="P157"/>
      <x:c r="Q157"/>
      <x:c r="R157"/>
      <x:c r="S157"/>
      <x:c r="T157"/>
    </x:row>
    <x:row r="158" ht="15" hidden="0">
      <x:c r="A158"/>
      <x:c r="B158"/>
      <x:c r="C158"/>
      <x:c r="D158"/>
      <x:c r="E158"/>
      <x:c r="F158"/>
      <x:c r="G158"/>
      <x:c r="H158"/>
      <x:c r="I158"/>
      <x:c r="J158"/>
      <x:c r="K158"/>
      <x:c r="L158"/>
      <x:c r="M158"/>
      <x:c r="N158"/>
      <x:c r="O158"/>
      <x:c r="P158"/>
      <x:c r="Q158"/>
      <x:c r="R158"/>
      <x:c r="S158"/>
      <x:c r="T158"/>
    </x:row>
    <x:row r="159" ht="15" hidden="0">
      <x:c r="A159"/>
      <x:c r="B159"/>
      <x:c r="C159"/>
      <x:c r="D159"/>
      <x:c r="E159"/>
      <x:c r="F159"/>
      <x:c r="G159"/>
      <x:c r="H159"/>
      <x:c r="I159"/>
      <x:c r="J159"/>
      <x:c r="K159"/>
      <x:c r="L159"/>
      <x:c r="M159"/>
      <x:c r="N159"/>
      <x:c r="O159"/>
      <x:c r="P159"/>
      <x:c r="Q159"/>
      <x:c r="R159"/>
      <x:c r="S159"/>
      <x:c r="T159"/>
    </x:row>
    <x:row r="160" ht="15" hidden="0">
      <x:c r="A160"/>
      <x:c r="B160"/>
      <x:c r="C160"/>
      <x:c r="D160"/>
      <x:c r="E160"/>
      <x:c r="F160"/>
      <x:c r="G160"/>
      <x:c r="H160"/>
      <x:c r="I160"/>
      <x:c r="J160"/>
      <x:c r="K160"/>
      <x:c r="L160"/>
      <x:c r="M160"/>
      <x:c r="N160"/>
      <x:c r="O160"/>
      <x:c r="P160"/>
      <x:c r="Q160"/>
      <x:c r="R160"/>
      <x:c r="S160"/>
      <x:c r="T160"/>
    </x:row>
    <x:row r="161" ht="15" hidden="0">
      <x:c r="A161"/>
      <x:c r="B161"/>
      <x:c r="C161"/>
      <x:c r="D161"/>
      <x:c r="E161"/>
      <x:c r="F161"/>
      <x:c r="G161"/>
      <x:c r="H161"/>
      <x:c r="I161"/>
      <x:c r="J161"/>
      <x:c r="K161"/>
      <x:c r="L161"/>
      <x:c r="M161"/>
      <x:c r="N161"/>
      <x:c r="O161"/>
      <x:c r="P161"/>
      <x:c r="Q161"/>
      <x:c r="R161"/>
      <x:c r="S161"/>
      <x:c r="T161"/>
    </x:row>
    <x:row r="162" ht="15" hidden="0">
      <x:c r="A162"/>
      <x:c r="B162"/>
      <x:c r="C162"/>
      <x:c r="D162"/>
      <x:c r="E162"/>
      <x:c r="F162"/>
      <x:c r="G162"/>
      <x:c r="H162"/>
      <x:c r="I162"/>
      <x:c r="J162"/>
      <x:c r="K162"/>
      <x:c r="L162"/>
      <x:c r="M162"/>
      <x:c r="N162"/>
      <x:c r="O162"/>
      <x:c r="P162"/>
      <x:c r="Q162"/>
      <x:c r="R162"/>
      <x:c r="S162"/>
      <x:c r="T162"/>
    </x:row>
    <x:row r="163" ht="15" hidden="0">
      <x:c r="A163"/>
      <x:c r="B163"/>
      <x:c r="C163"/>
      <x:c r="D163"/>
      <x:c r="E163"/>
      <x:c r="F163"/>
      <x:c r="G163"/>
      <x:c r="H163"/>
      <x:c r="I163"/>
      <x:c r="J163"/>
      <x:c r="K163"/>
      <x:c r="L163"/>
      <x:c r="M163"/>
      <x:c r="N163"/>
      <x:c r="O163"/>
      <x:c r="P163"/>
      <x:c r="Q163"/>
      <x:c r="R163"/>
      <x:c r="S163"/>
      <x:c r="T163"/>
    </x:row>
    <x:row r="164" ht="15" hidden="0">
      <x:c r="A164"/>
      <x:c r="B164"/>
      <x:c r="C164"/>
      <x:c r="D164"/>
      <x:c r="E164"/>
      <x:c r="F164"/>
      <x:c r="G164"/>
      <x:c r="H164"/>
      <x:c r="I164"/>
      <x:c r="J164"/>
      <x:c r="K164"/>
      <x:c r="L164"/>
      <x:c r="M164"/>
      <x:c r="N164"/>
      <x:c r="O164"/>
      <x:c r="P164"/>
      <x:c r="Q164"/>
      <x:c r="R164"/>
      <x:c r="S164"/>
      <x:c r="T164"/>
    </x:row>
    <x:row r="165" ht="15" hidden="0">
      <x:c r="A165"/>
      <x:c r="B165"/>
      <x:c r="C165"/>
      <x:c r="D165"/>
      <x:c r="E165"/>
      <x:c r="F165"/>
      <x:c r="G165"/>
      <x:c r="H165"/>
      <x:c r="I165"/>
      <x:c r="J165"/>
      <x:c r="K165"/>
      <x:c r="L165"/>
      <x:c r="M165"/>
      <x:c r="N165"/>
      <x:c r="O165"/>
      <x:c r="P165"/>
      <x:c r="Q165"/>
      <x:c r="R165"/>
      <x:c r="S165"/>
      <x:c r="T165"/>
    </x:row>
  </x:sheetData>
  <x:mergeCells>
    <x:mergeCell ref="A1:T1"/>
    <x:mergeCell ref="A2:T2"/>
  </x:mergeCells>
  <x:conditionalFormatting sqref="P154:P165">
    <x:cfRule type="colorScale" priority="2">
      <x:colorScale>
        <x:cfvo type="min" val="0"/>
        <x:cfvo type="percentile" val="50"/>
        <x:cfvo type="max" val="0"/>
        <x:color rgb="FF63BE7B"/>
        <x:color rgb="FFFFEB84"/>
        <x:color rgb="FFF8696B"/>
      </x:colorScale>
    </x:cfRule>
  </x:conditionalFormatting>
  <x:conditionalFormatting sqref="R154:R165">
    <x:cfRule type="expression" dxfId="124" priority="3" aboveAverage="0" percent="0" bottom="0" rank="0" equalAverage="0">
      <x:formula>R154=1</x:formula>
    </x:cfRule>
  </x:conditionalFormatting>
  <x:conditionalFormatting sqref="P5:P153">
    <x:cfRule type="colorScale" priority="4">
      <x:colorScale>
        <x:cfvo type="min"/>
        <x:cfvo type="percentile" val="50"/>
        <x:cfvo type="max"/>
        <x:color rgb="FF63BE7B"/>
        <x:color rgb="FFFFEB84"/>
        <x:color rgb="FFF8696B"/>
      </x:colorScale>
    </x:cfRule>
  </x:conditionalFormatting>
  <x:conditionalFormatting sqref="R5:R153">
    <x:cfRule type="expression" dxfId="125" priority="5">
      <x:formula>R5=TRUE</x:formula>
    </x:cfRule>
  </x:conditionalFormatting>
  <x:pageMargins left="0.7" right="0.7" top="0.75" bottom="0.75" header="0.3" footer="0.3"/>
  <x:tableParts count="1">
    <x:tablePart xmlns:r="http://schemas.openxmlformats.org/officeDocument/2006/relationships" r:id="R7fca1db1e57a4c3d"/>
  </x:tableParts>
</x:worksheet>
</file>

<file path=xl/worksheets/sheet11.xml><?xml version="1.0" encoding="utf-8"?>
<x:worksheet xmlns:x="http://schemas.openxmlformats.org/spreadsheetml/2006/main">
  <x:sheetPr>
    <x:tabColor rgb="FFF4B183"/>
  </x:sheetPr>
  <x:sheetViews>
    <x:sheetView showGridLines="0" workbookViewId="0">
      <x:pane ySplit="4" topLeftCell="A5" activePane="bottomLeft" state="frozen"/>
    </x:sheetView>
  </x:sheetViews>
  <x:sheetFormatPr defaultColWidth="8.6796875" defaultRowHeight="15"/>
  <x:cols>
    <x:col min="1" max="2" width="28" style="1" hidden="0" customWidth="1"/>
    <x:col min="3" max="5" width="14" style="1" hidden="0" customWidth="1"/>
  </x:cols>
  <x:sheetData>
    <x:row r="1" ht="31.5" hidden="0" customHeight="1">
      <x:c r="A1" s="9" t="s">
        <x:v>58</x:v>
      </x:c>
      <x:c r="B1" s="9"/>
      <x:c r="C1" s="9"/>
      <x:c r="D1" s="9"/>
      <x:c r="E1" s="9"/>
    </x:row>
    <x:row r="2" ht="33.75" hidden="0" customHeight="1">
      <x:c r="A2" s="10" t="s">
        <x:v>59</x:v>
      </x:c>
      <x:c r="B2" s="10"/>
      <x:c r="C2" s="10"/>
      <x:c r="D2" s="10"/>
      <x:c r="E2" s="10"/>
    </x:row>
    <x:row r="4" ht="34" hidden="0" customHeight="1">
      <x:c r="A4" s="52" t="str">
        <x:v>Scenario</x:v>
      </x:c>
      <x:c r="B4" s="53" t="str">
        <x:v>Institution</x:v>
      </x:c>
      <x:c r="C4" s="53" t="str">
        <x:v>Rank</x:v>
      </x:c>
      <x:c r="D4" s="53" t="str">
        <x:v>Top decile</x:v>
      </x:c>
      <x:c r="E4" s="54" t="str">
        <x:v>Score</x:v>
      </x:c>
    </x:row>
    <x:row r="5" ht="15" hidden="0">
      <x:c r="A5" s="59" t="str">
        <x:v>Base interaction-aware</x:v>
      </x:c>
      <x:c r="B5" s="59" t="str">
        <x:v>SILICON VALLEY BANK</x:v>
      </x:c>
      <x:c r="C5" s="59" t="n">
        <x:v>4</x:v>
      </x:c>
      <x:c r="D5" s="60" t="b">
        <x:v>1</x:v>
      </x:c>
      <x:c r="E5" s="63" t="n">
        <x:v>72.84882010207068</x:v>
      </x:c>
    </x:row>
    <x:row r="6" ht="15" hidden="0">
      <x:c r="A6" s="59" t="str">
        <x:v>Base interaction-aware</x:v>
      </x:c>
      <x:c r="B6" s="59" t="str">
        <x:v>FIRST REPUBLIC BANK</x:v>
      </x:c>
      <x:c r="C6" s="59" t="n">
        <x:v>28</x:v>
      </x:c>
      <x:c r="D6" s="60" t="b">
        <x:v>0</x:v>
      </x:c>
      <x:c r="E6" s="63" t="n">
        <x:v>64.2688997505072</x:v>
      </x:c>
    </x:row>
    <x:row r="7" ht="15" hidden="0">
      <x:c r="A7" s="59" t="str">
        <x:v>Base interaction-aware</x:v>
      </x:c>
      <x:c r="B7" s="59" t="str">
        <x:v>SIGNATURE BANK</x:v>
      </x:c>
      <x:c r="C7" s="59" t="n">
        <x:v>27</x:v>
      </x:c>
      <x:c r="D7" s="60" t="b">
        <x:v>0</x:v>
      </x:c>
      <x:c r="E7" s="63" t="n">
        <x:v>64.57248318845261</x:v>
      </x:c>
    </x:row>
    <x:row r="8" ht="15" hidden="0">
      <x:c r="A8" s="59" t="str">
        <x:v>Equal dimensions</x:v>
      </x:c>
      <x:c r="B8" s="59" t="str">
        <x:v>SILICON VALLEY BANK</x:v>
      </x:c>
      <x:c r="C8" s="59" t="n">
        <x:v>10</x:v>
      </x:c>
      <x:c r="D8" s="60" t="b">
        <x:v>1</x:v>
      </x:c>
      <x:c r="E8" s="63" t="n">
        <x:v>68.8309714167024</x:v>
      </x:c>
    </x:row>
    <x:row r="9" ht="15" hidden="0">
      <x:c r="A9" s="59" t="str">
        <x:v>Equal dimensions</x:v>
      </x:c>
      <x:c r="B9" s="59" t="str">
        <x:v>FIRST REPUBLIC BANK</x:v>
      </x:c>
      <x:c r="C9" s="59" t="n">
        <x:v>40</x:v>
      </x:c>
      <x:c r="D9" s="60" t="b">
        <x:v>0</x:v>
      </x:c>
      <x:c r="E9" s="63" t="n">
        <x:v>59.21548801965112</x:v>
      </x:c>
    </x:row>
    <x:row r="10" ht="15" hidden="0">
      <x:c r="A10" s="59" t="str">
        <x:v>Equal dimensions</x:v>
      </x:c>
      <x:c r="B10" s="59" t="str">
        <x:v>SIGNATURE BANK</x:v>
      </x:c>
      <x:c r="C10" s="59" t="n">
        <x:v>32</x:v>
      </x:c>
      <x:c r="D10" s="60" t="b">
        <x:v>0</x:v>
      </x:c>
      <x:c r="E10" s="63" t="n">
        <x:v>62.16073820549772</x:v>
      </x:c>
    </x:row>
    <x:row r="11" ht="15" hidden="0">
      <x:c r="A11" s="59" t="str">
        <x:v>Rate dominant</x:v>
      </x:c>
      <x:c r="B11" s="59" t="str">
        <x:v>SILICON VALLEY BANK</x:v>
      </x:c>
      <x:c r="C11" s="59" t="n">
        <x:v>3</x:v>
      </x:c>
      <x:c r="D11" s="60" t="b">
        <x:v>1</x:v>
      </x:c>
      <x:c r="E11" s="63" t="n">
        <x:v>78.70386296097419</x:v>
      </x:c>
    </x:row>
    <x:row r="12" ht="15" hidden="0">
      <x:c r="A12" s="59" t="str">
        <x:v>Rate dominant</x:v>
      </x:c>
      <x:c r="B12" s="59" t="str">
        <x:v>FIRST REPUBLIC BANK</x:v>
      </x:c>
      <x:c r="C12" s="59" t="n">
        <x:v>30</x:v>
      </x:c>
      <x:c r="D12" s="60" t="b">
        <x:v>0</x:v>
      </x:c>
      <x:c r="E12" s="63" t="n">
        <x:v>65.29499822081426</x:v>
      </x:c>
    </x:row>
    <x:row r="13" ht="15" hidden="0">
      <x:c r="A13" s="59" t="str">
        <x:v>Rate dominant</x:v>
      </x:c>
      <x:c r="B13" s="59" t="str">
        <x:v>SIGNATURE BANK</x:v>
      </x:c>
      <x:c r="C13" s="59" t="n">
        <x:v>24</x:v>
      </x:c>
      <x:c r="D13" s="60" t="b">
        <x:v>0</x:v>
      </x:c>
      <x:c r="E13" s="63" t="n">
        <x:v>66.5444098252218</x:v>
      </x:c>
    </x:row>
    <x:row r="14" ht="15" hidden="0">
      <x:c r="A14" s="59" t="str">
        <x:v>Funding dominant</x:v>
      </x:c>
      <x:c r="B14" s="59" t="str">
        <x:v>SILICON VALLEY BANK</x:v>
      </x:c>
      <x:c r="C14" s="59" t="n">
        <x:v>8</x:v>
      </x:c>
      <x:c r="D14" s="60" t="b">
        <x:v>1</x:v>
      </x:c>
      <x:c r="E14" s="63" t="n">
        <x:v>71.99800783484598</x:v>
      </x:c>
    </x:row>
    <x:row r="15" ht="15" hidden="0">
      <x:c r="A15" s="59" t="str">
        <x:v>Funding dominant</x:v>
      </x:c>
      <x:c r="B15" s="59" t="str">
        <x:v>FIRST REPUBLIC BANK</x:v>
      </x:c>
      <x:c r="C15" s="59" t="n">
        <x:v>16</x:v>
      </x:c>
      <x:c r="D15" s="60" t="b">
        <x:v>0</x:v>
      </x:c>
      <x:c r="E15" s="63" t="n">
        <x:v>69.80830532565112</x:v>
      </x:c>
    </x:row>
    <x:row r="16" ht="15" hidden="0">
      <x:c r="A16" s="59" t="str">
        <x:v>Funding dominant</x:v>
      </x:c>
      <x:c r="B16" s="59" t="str">
        <x:v>SIGNATURE BANK</x:v>
      </x:c>
      <x:c r="C16" s="59" t="n">
        <x:v>26</x:v>
      </x:c>
      <x:c r="D16" s="60" t="b">
        <x:v>0</x:v>
      </x:c>
      <x:c r="E16" s="63" t="n">
        <x:v>65.81124620568927</x:v>
      </x:c>
    </x:row>
    <x:row r="17" ht="15" hidden="0">
      <x:c r="A17" s="59" t="str">
        <x:v>Credit dominant</x:v>
      </x:c>
      <x:c r="B17" s="59" t="str">
        <x:v>SILICON VALLEY BANK</x:v>
      </x:c>
      <x:c r="C17" s="59" t="n">
        <x:v>23</x:v>
      </x:c>
      <x:c r="D17" s="60" t="b">
        <x:v>0</x:v>
      </x:c>
      <x:c r="E17" s="63" t="n">
        <x:v>62.48745792990081</x:v>
      </x:c>
    </x:row>
    <x:row r="18" ht="15" hidden="0">
      <x:c r="A18" s="59" t="str">
        <x:v>Credit dominant</x:v>
      </x:c>
      <x:c r="B18" s="59" t="str">
        <x:v>FIRST REPUBLIC BANK</x:v>
      </x:c>
      <x:c r="C18" s="59" t="n">
        <x:v>74</x:v>
      </x:c>
      <x:c r="D18" s="60" t="b">
        <x:v>0</x:v>
      </x:c>
      <x:c r="E18" s="63" t="n">
        <x:v>50.96551339724815</x:v>
      </x:c>
    </x:row>
    <x:row r="19" ht="15" hidden="0">
      <x:c r="A19" s="61" t="str">
        <x:v>Credit dominant</x:v>
      </x:c>
      <x:c r="B19" s="61" t="str">
        <x:v>SIGNATURE BANK</x:v>
      </x:c>
      <x:c r="C19" s="61" t="n">
        <x:v>39</x:v>
      </x:c>
      <x:c r="D19" s="62" t="b">
        <x:v>0</x:v>
      </x:c>
      <x:c r="E19" s="64" t="n">
        <x:v>58.14613355717356</x:v>
      </x:c>
    </x:row>
  </x:sheetData>
  <x:mergeCells>
    <x:mergeCell ref="A1:E1"/>
    <x:mergeCell ref="A2:E2"/>
  </x:mergeCells>
  <x:pageMargins left="0.7" right="0.7" top="0.75" bottom="0.75" header="0.3" footer="0.3"/>
  <x:tableParts count="1">
    <x:tablePart xmlns:r="http://schemas.openxmlformats.org/officeDocument/2006/relationships" r:id="Raa2f1c47509f40f2"/>
  </x:tableParts>
</x:worksheet>
</file>

<file path=xl/worksheets/sheet12.xml><?xml version="1.0" encoding="utf-8"?>
<x:worksheet xmlns:x="http://schemas.openxmlformats.org/spreadsheetml/2006/main">
  <x:sheetPr>
    <x:tabColor rgb="FF2F6B5E"/>
  </x:sheetPr>
  <x:sheetViews>
    <x:sheetView showGridLines="0" workbookViewId="0">
      <x:pane ySplit="4" topLeftCell="A5" activePane="bottomLeft" state="frozen"/>
    </x:sheetView>
  </x:sheetViews>
  <x:sheetFormatPr defaultColWidth="8.6796875" defaultRowHeight="15"/>
  <x:cols>
    <x:col min="1" max="1" width="13" style="1" hidden="0" customWidth="1"/>
    <x:col min="2" max="4" width="24" style="1" hidden="0" customWidth="1"/>
  </x:cols>
  <x:sheetData>
    <x:row r="1" ht="31.5" hidden="0" customHeight="1">
      <x:c r="A1" s="9" t="s">
        <x:v>60</x:v>
      </x:c>
      <x:c r="B1" s="9"/>
      <x:c r="C1" s="9"/>
      <x:c r="D1" s="9"/>
    </x:row>
    <x:row r="2" ht="33.75" hidden="0" customHeight="1">
      <x:c r="A2" s="10" t="s">
        <x:v>61</x:v>
      </x:c>
      <x:c r="B2" s="10"/>
      <x:c r="C2" s="10"/>
      <x:c r="D2" s="10"/>
    </x:row>
    <x:row r="4" ht="30" hidden="0" customHeight="1">
      <x:c r="A4" s="32" t="str">
        <x:v>Quarter</x:v>
      </x:c>
      <x:c r="B4" s="32" t="str">
        <x:v>Effective federal funds rate</x:v>
      </x:c>
      <x:c r="C4" s="32" t="str">
        <x:v>10-year Treasury yield</x:v>
      </x:c>
      <x:c r="D4" s="32" t="str">
        <x:v>Fed funds change from 2021Q4 (pp)</x:v>
      </x:c>
    </x:row>
    <x:row r="5" ht="15" hidden="0">
      <x:c r="A5" s="13" t="str">
        <x:v>2021Q1</x:v>
      </x:c>
      <x:c r="B5" s="125" t="n">
        <x:v>0.00077</x:v>
      </x:c>
      <x:c r="C5" s="125" t="n">
        <x:v>0.01336</x:v>
      </x:c>
      <x:c r="D5" s="126" t="n">
        <x:v>-0.002</x:v>
      </x:c>
    </x:row>
    <x:row r="6" ht="15" hidden="0">
      <x:c r="A6" s="13" t="str">
        <x:v>2021Q2</x:v>
      </x:c>
      <x:c r="B6" s="125" t="n">
        <x:v>0.00068</x:v>
      </x:c>
      <x:c r="C6" s="125" t="n">
        <x:v>0.01591</x:v>
      </x:c>
      <x:c r="D6" s="126" t="n">
        <x:v>-0.011</x:v>
      </x:c>
    </x:row>
    <x:row r="7" ht="15" hidden="0">
      <x:c r="A7" s="13" t="str">
        <x:v>2021Q3</x:v>
      </x:c>
      <x:c r="B7" s="125" t="n">
        <x:v>0.0009</x:v>
      </x:c>
      <x:c r="C7" s="125" t="n">
        <x:v>0.01325</x:v>
      </x:c>
      <x:c r="D7" s="126" t="n">
        <x:v>0.011</x:v>
      </x:c>
    </x:row>
    <x:row r="8" ht="15" hidden="0">
      <x:c r="A8" s="13" t="str">
        <x:v>2021Q4</x:v>
      </x:c>
      <x:c r="B8" s="125" t="n">
        <x:v>0.00079</x:v>
      </x:c>
      <x:c r="C8" s="125" t="n">
        <x:v>0.01533</x:v>
      </x:c>
      <x:c r="D8" s="126" t="n">
        <x:v>0</x:v>
      </x:c>
    </x:row>
    <x:row r="9" ht="15" hidden="0">
      <x:c r="A9" s="13" t="str">
        <x:v>2022Q1</x:v>
      </x:c>
      <x:c r="B9" s="125" t="n">
        <x:v>0.00121</x:v>
      </x:c>
      <x:c r="C9" s="125" t="n">
        <x:v>0.01951</x:v>
      </x:c>
      <x:c r="D9" s="126" t="n">
        <x:v>0.042</x:v>
      </x:c>
    </x:row>
    <x:row r="10" ht="15" hidden="0">
      <x:c r="A10" s="13" t="str">
        <x:v>2022Q2</x:v>
      </x:c>
      <x:c r="B10" s="125" t="n">
        <x:v>0.00767</x:v>
      </x:c>
      <x:c r="C10" s="125" t="n">
        <x:v>0.02933</x:v>
      </x:c>
      <x:c r="D10" s="126" t="n">
        <x:v>0.688</x:v>
      </x:c>
    </x:row>
    <x:row r="11" ht="15" hidden="0">
      <x:c r="A11" s="13" t="str">
        <x:v>2022Q3</x:v>
      </x:c>
      <x:c r="B11" s="125" t="n">
        <x:v>0.02183</x:v>
      </x:c>
      <x:c r="C11" s="125" t="n">
        <x:v>0.03101</x:v>
      </x:c>
      <x:c r="D11" s="126" t="n">
        <x:v>2.104</x:v>
      </x:c>
    </x:row>
    <x:row r="12" ht="15" hidden="0">
      <x:c r="A12" s="13" t="str">
        <x:v>2022Q4</x:v>
      </x:c>
      <x:c r="B12" s="125" t="n">
        <x:v>0.03653</x:v>
      </x:c>
      <x:c r="C12" s="125" t="n">
        <x:v>0.03827</x:v>
      </x:c>
      <x:c r="D12" s="126" t="n">
        <x:v>3.574</x:v>
      </x:c>
    </x:row>
    <x:row r="13" ht="15" hidden="0">
      <x:c r="A13" s="13" t="str">
        <x:v>2023Q1</x:v>
      </x:c>
      <x:c r="B13" s="125" t="n">
        <x:v>0.045149999999999996</x:v>
      </x:c>
      <x:c r="C13" s="125" t="n">
        <x:v>0.03646</x:v>
      </x:c>
      <x:c r="D13" s="126" t="n">
        <x:v>4.436</x:v>
      </x:c>
    </x:row>
    <x:row r="14" ht="15" hidden="0">
      <x:c r="A14" s="13" t="str">
        <x:v>2023Q2</x:v>
      </x:c>
      <x:c r="B14" s="125" t="n">
        <x:v>0.04988000000000001</x:v>
      </x:c>
      <x:c r="C14" s="125" t="n">
        <x:v>0.03596</x:v>
      </x:c>
      <x:c r="D14" s="126" t="n">
        <x:v>4.909</x:v>
      </x:c>
    </x:row>
    <x:row r="15" ht="15" hidden="0">
      <x:c r="A15" s="13" t="str">
        <x:v>2023Q3</x:v>
      </x:c>
      <x:c r="B15" s="125" t="n">
        <x:v>0.052590000000000005</x:v>
      </x:c>
      <x:c r="C15" s="125" t="n">
        <x:v>0.0415</x:v>
      </x:c>
      <x:c r="D15" s="126" t="n">
        <x:v>5.18</x:v>
      </x:c>
    </x:row>
    <x:row r="16" ht="15" hidden="0">
      <x:c r="A16" s="13" t="str">
        <x:v>2023Q4</x:v>
      </x:c>
      <x:c r="B16" s="125" t="n">
        <x:v>0.0533</x:v>
      </x:c>
      <x:c r="C16" s="125" t="n">
        <x:v>0.04447</x:v>
      </x:c>
      <x:c r="D16" s="126" t="n">
        <x:v>5.251</x:v>
      </x:c>
    </x:row>
  </x:sheetData>
  <x:mergeCells>
    <x:mergeCell ref="A1:D1"/>
    <x:mergeCell ref="A2:D2"/>
  </x:mergeCells>
  <x:pageMargins left="0.7" right="0.7" top="0.75" bottom="0.75" header="0.3" footer="0.3"/>
  <x:drawing xmlns:r="http://schemas.openxmlformats.org/officeDocument/2006/relationships" r:id="Rf68da80d99f948d4"/>
  <x:tableParts count="1">
    <x:tablePart xmlns:r="http://schemas.openxmlformats.org/officeDocument/2006/relationships" r:id="R838a9142de304e99"/>
  </x:tableParts>
</x:worksheet>
</file>

<file path=xl/worksheets/sheet13.xml><?xml version="1.0" encoding="utf-8"?>
<x:worksheet xmlns:x="http://schemas.openxmlformats.org/spreadsheetml/2006/main">
  <x:sheetPr>
    <x:tabColor rgb="FF17365D"/>
  </x:sheetPr>
  <x:sheetViews>
    <x:sheetView showGridLines="0" workbookViewId="0">
      <x:pane ySplit="4" topLeftCell="A5" activePane="bottomLeft" state="frozen"/>
    </x:sheetView>
  </x:sheetViews>
  <x:sheetFormatPr defaultColWidth="8.6796875" defaultRowHeight="15"/>
  <x:cols>
    <x:col min="1" max="1" width="18" style="1" hidden="0" customWidth="1"/>
    <x:col min="2" max="2" width="30" style="1" hidden="0" customWidth="1"/>
    <x:col min="3" max="3" width="52" style="1" hidden="0" customWidth="1"/>
    <x:col min="4" max="4" width="54" style="1" hidden="0" customWidth="1"/>
  </x:cols>
  <x:sheetData>
    <x:row r="1" ht="31.5" hidden="0" customHeight="1">
      <x:c r="A1" s="9" t="s">
        <x:v>62</x:v>
      </x:c>
      <x:c r="B1" s="9"/>
      <x:c r="C1" s="9"/>
      <x:c r="D1" s="9"/>
    </x:row>
    <x:row r="2" ht="33.75" hidden="0" customHeight="1">
      <x:c r="A2" s="10" t="s">
        <x:v>63</x:v>
      </x:c>
      <x:c r="B2" s="10"/>
      <x:c r="C2" s="10"/>
      <x:c r="D2" s="10"/>
    </x:row>
    <x:row r="4" ht="30" hidden="0" customHeight="1">
      <x:c r="A4" s="32" t="s">
        <x:v>64</x:v>
      </x:c>
      <x:c r="B4" s="32" t="s">
        <x:v>65</x:v>
      </x:c>
      <x:c r="C4" s="32" t="s">
        <x:v>66</x:v>
      </x:c>
      <x:c r="D4" s="32" t="s">
        <x:v>67</x:v>
      </x:c>
    </x:row>
    <x:row r="5" ht="42" hidden="0" customHeight="1">
      <x:c r="A5" s="39" t="s">
        <x:v>68</x:v>
      </x:c>
      <x:c r="B5" s="39" t="s">
        <x:v>69</x:v>
      </x:c>
      <x:c r="C5" s="39" t="s">
        <x:v>70</x:v>
      </x:c>
      <x:c r="D5" s="39" t="s">
        <x:v>71</x:v>
      </x:c>
    </x:row>
    <x:row r="6" ht="42" hidden="0" customHeight="1">
      <x:c r="A6" s="39" t="s">
        <x:v>68</x:v>
      </x:c>
      <x:c r="B6" s="39" t="s">
        <x:v>72</x:v>
      </x:c>
      <x:c r="C6" s="39" t="s">
        <x:v>73</x:v>
      </x:c>
      <x:c r="D6" s="39" t="s">
        <x:v>74</x:v>
      </x:c>
    </x:row>
    <x:row r="7" ht="42" hidden="0" customHeight="1">
      <x:c r="A7" s="39" t="s">
        <x:v>75</x:v>
      </x:c>
      <x:c r="B7" s="39" t="s">
        <x:v>76</x:v>
      </x:c>
      <x:c r="C7" s="39" t="s">
        <x:v>77</x:v>
      </x:c>
      <x:c r="D7" s="39" t="s">
        <x:v>78</x:v>
      </x:c>
    </x:row>
    <x:row r="8" ht="42" hidden="0" customHeight="1">
      <x:c r="A8" s="39" t="s">
        <x:v>75</x:v>
      </x:c>
      <x:c r="B8" s="39" t="s">
        <x:v>79</x:v>
      </x:c>
      <x:c r="C8" s="39" t="s">
        <x:v>80</x:v>
      </x:c>
      <x:c r="D8" s="39" t="s">
        <x:v>81</x:v>
      </x:c>
    </x:row>
    <x:row r="9" ht="42" hidden="0" customHeight="1">
      <x:c r="A9" s="39" t="s">
        <x:v>82</x:v>
      </x:c>
      <x:c r="B9" s="39" t="s">
        <x:v>83</x:v>
      </x:c>
      <x:c r="C9" s="39" t="s">
        <x:v>84</x:v>
      </x:c>
      <x:c r="D9" s="39" t="s">
        <x:v>85</x:v>
      </x:c>
    </x:row>
    <x:row r="10" ht="42" hidden="0" customHeight="1">
      <x:c r="A10" s="39" t="s">
        <x:v>82</x:v>
      </x:c>
      <x:c r="B10" s="39" t="s">
        <x:v>86</x:v>
      </x:c>
      <x:c r="C10" s="39" t="s">
        <x:v>87</x:v>
      </x:c>
      <x:c r="D10" s="39" t="s">
        <x:v>88</x:v>
      </x:c>
    </x:row>
    <x:row r="11" ht="42" hidden="0" customHeight="1">
      <x:c r="A11" s="39" t="s">
        <x:v>89</x:v>
      </x:c>
      <x:c r="B11" s="39" t="s">
        <x:v>90</x:v>
      </x:c>
      <x:c r="C11" s="39" t="s">
        <x:v>91</x:v>
      </x:c>
      <x:c r="D11" s="39" t="s">
        <x:v>92</x:v>
      </x:c>
    </x:row>
    <x:row r="12" ht="42" hidden="0" customHeight="1">
      <x:c r="A12" s="39" t="s">
        <x:v>93</x:v>
      </x:c>
      <x:c r="B12" s="39" t="s">
        <x:v>94</x:v>
      </x:c>
      <x:c r="C12" s="39" t="s">
        <x:v>95</x:v>
      </x:c>
      <x:c r="D12" s="39" t="s">
        <x:v>96</x:v>
      </x:c>
    </x:row>
    <x:row r="13" ht="42" hidden="0" customHeight="1">
      <x:c r="A13" s="39" t="s">
        <x:v>97</x:v>
      </x:c>
      <x:c r="B13" s="39" t="s">
        <x:v>98</x:v>
      </x:c>
      <x:c r="C13" s="39" t="s">
        <x:v>99</x:v>
      </x:c>
      <x:c r="D13" s="39" t="s">
        <x:v>100</x:v>
      </x:c>
    </x:row>
    <x:row r="14" ht="24" hidden="0" customHeight="1">
      <x:c r="A14" s="39" t="s">
        <x:v>101</x:v>
      </x:c>
      <x:c r="B14" s="39" t="s">
        <x:v>102</x:v>
      </x:c>
      <x:c r="C14" s="39" t="s">
        <x:v>103</x:v>
      </x:c>
      <x:c r="D14" s="134" t="str">
        <x:v>In-sample hypothesis frozen as version 1.0.1 before locked-specification historical and prospective testing.</x:v>
      </x:c>
    </x:row>
    <x:row r="17" ht="15" hidden="0">
      <x:c r="A17" s="11" t="s">
        <x:v>104</x:v>
      </x:c>
      <x:c r="B17" s="11"/>
      <x:c r="C17" s="11"/>
      <x:c r="D17" s="11"/>
    </x:row>
    <x:row r="18" ht="33.75" hidden="0" customHeight="1">
      <x:c r="A18" s="13" t="n">
        <x:v>1</x:v>
      </x:c>
      <x:c r="B18" s="39" t="s">
        <x:v>105</x:v>
      </x:c>
      <x:c r="C18" s="39"/>
      <x:c r="D18" s="39"/>
    </x:row>
    <x:row r="19" ht="33.75" hidden="0" customHeight="1">
      <x:c r="A19" s="13" t="n">
        <x:v>2</x:v>
      </x:c>
      <x:c r="B19" s="39" t="s">
        <x:v>106</x:v>
      </x:c>
      <x:c r="C19" s="39"/>
      <x:c r="D19" s="39"/>
    </x:row>
    <x:row r="20" ht="33.75" hidden="0" customHeight="1">
      <x:c r="A20" s="13" t="n">
        <x:v>3</x:v>
      </x:c>
      <x:c r="B20" s="39" t="s">
        <x:v>107</x:v>
      </x:c>
      <x:c r="C20" s="39"/>
      <x:c r="D20" s="39"/>
    </x:row>
    <x:row r="21" ht="33.75" hidden="0" customHeight="1">
      <x:c r="A21" s="13" t="n">
        <x:v>4</x:v>
      </x:c>
      <x:c r="B21" s="39" t="s">
        <x:v>108</x:v>
      </x:c>
      <x:c r="C21" s="39"/>
      <x:c r="D21" s="39"/>
    </x:row>
    <x:row r="22" ht="33.75" hidden="0" customHeight="1">
      <x:c r="A22" s="13" t="n">
        <x:v>5</x:v>
      </x:c>
      <x:c r="B22" s="39" t="s">
        <x:v>109</x:v>
      </x:c>
      <x:c r="C22" s="39"/>
      <x:c r="D22" s="39"/>
    </x:row>
    <x:row r="23" ht="33.75" hidden="0" customHeight="1">
      <x:c r="A23" s="13" t="n">
        <x:v>6</x:v>
      </x:c>
      <x:c r="B23" s="39" t="s">
        <x:v>110</x:v>
      </x:c>
      <x:c r="C23" s="39"/>
      <x:c r="D23" s="39"/>
    </x:row>
    <x:row r="24" ht="36" customHeight="1">
      <x:c r="A24" s="92" t="n">
        <x:v>7</x:v>
      </x:c>
      <x:c r="B24" s="122" t="str">
        <x:v>The trigger score did not outperform uninsured-deposit concentration in the 2023 episode and 12 of 15 top-decile flags were nonfailures.</x:v>
      </x:c>
      <x:c r="C24" s="122"/>
      <x:c r="D24" s="122"/>
    </x:row>
  </x:sheetData>
  <x:mergeCells>
    <x:mergeCell ref="A1:D1"/>
    <x:mergeCell ref="A2:D2"/>
    <x:mergeCell ref="A17:D17"/>
    <x:mergeCell ref="B18:D18"/>
    <x:mergeCell ref="B19:D19"/>
    <x:mergeCell ref="B20:D20"/>
    <x:mergeCell ref="B21:D21"/>
    <x:mergeCell ref="B22:D22"/>
    <x:mergeCell ref="B23:D23"/>
    <x:mergeCell ref="B24:D24"/>
  </x:mergeCells>
  <x:pageMargins left="0.7" right="0.7" top="0.75" bottom="0.75" header="0.3" footer="0.3"/>
</x:worksheet>
</file>

<file path=xl/worksheets/sheet14.xml><?xml version="1.0" encoding="utf-8"?>
<x:worksheet xmlns:x="http://schemas.openxmlformats.org/spreadsheetml/2006/main">
  <x:sheetPr>
    <x:tabColor rgb="FF666666"/>
  </x:sheetPr>
  <x:sheetViews>
    <x:sheetView showGridLines="0" workbookViewId="0">
      <x:pane ySplit="4" topLeftCell="A5" activePane="bottomLeft" state="frozen"/>
    </x:sheetView>
  </x:sheetViews>
  <x:sheetFormatPr defaultColWidth="8.6796875" defaultRowHeight="15"/>
  <x:cols>
    <x:col min="1" max="2" width="28" style="1" hidden="0" customWidth="1"/>
    <x:col min="3" max="3" width="62" style="1" hidden="0" customWidth="1"/>
    <x:col min="4" max="4" width="46" style="1" hidden="0" customWidth="1"/>
  </x:cols>
  <x:sheetData>
    <x:row r="1" ht="31.5" hidden="0" customHeight="1">
      <x:c r="A1" s="9" t="s">
        <x:v>111</x:v>
      </x:c>
      <x:c r="B1" s="9"/>
      <x:c r="C1" s="9"/>
      <x:c r="D1" s="9"/>
    </x:row>
    <x:row r="2" ht="33.75" hidden="0" customHeight="1">
      <x:c r="A2" s="10" t="s">
        <x:v>112</x:v>
      </x:c>
      <x:c r="B2" s="10"/>
      <x:c r="C2" s="10"/>
      <x:c r="D2" s="10"/>
    </x:row>
    <x:row r="4" ht="34" hidden="0" customHeight="1">
      <x:c r="A4" s="52" t="str">
        <x:v>Source</x:v>
      </x:c>
      <x:c r="B4" s="53" t="str">
        <x:v>Use</x:v>
      </x:c>
      <x:c r="C4" s="53" t="str">
        <x:v>URL / relative path</x:v>
      </x:c>
      <x:c r="D4" s="54" t="str">
        <x:v>Access note</x:v>
      </x:c>
    </x:row>
    <x:row r="5" ht="38" hidden="0" customHeight="1">
      <x:c r="A5" s="123" t="str">
        <x:v>FDIC BankFind Financials API</x:v>
      </x:c>
      <x:c r="B5" s="123" t="str">
        <x:v>2022Q4 bank financial fields</x:v>
      </x:c>
      <x:c r="C5" s="123" t="str">
        <x:v>https://api.fdic.gov/banks/docs/</x:v>
      </x:c>
      <x:c r="D5" s="123" t="str">
        <x:v>The raw response is preserved. The code applies the asset filter locally before scoring.</x:v>
      </x:c>
    </x:row>
    <x:row r="6" ht="38" hidden="0" customHeight="1">
      <x:c r="A6" s="123" t="str">
        <x:v>FDIC BankFind Failures API</x:v>
      </x:c>
      <x:c r="B6" s="123" t="str">
        <x:v>2023 failure outcomes</x:v>
      </x:c>
      <x:c r="C6" s="123" t="str">
        <x:v>https://api.fdic.gov/banks/docs/</x:v>
      </x:c>
      <x:c r="D6" s="123" t="str">
        <x:v>Five failures in 2023; three were in the selected asset band.</x:v>
      </x:c>
    </x:row>
    <x:row r="7" ht="38" hidden="0" customHeight="1">
      <x:c r="A7" s="123" t="str">
        <x:v>FFIEC Call Report bulk download</x:v>
      </x:c>
      <x:c r="B7" s="123" t="str">
        <x:v>Primary regulatory-data reference</x:v>
      </x:c>
      <x:c r="C7" s="123" t="str">
        <x:v>https://cdr.ffiec.gov/public/pws/downloadbulkdata.aspx</x:v>
      </x:c>
      <x:c r="D7" s="123" t="str">
        <x:v>Use for later panel expansion and field-level reconciliation.</x:v>
      </x:c>
    </x:row>
    <x:row r="8" ht="38" hidden="0" customHeight="1">
      <x:c r="A8" s="123" t="str">
        <x:v>FRED DFF</x:v>
      </x:c>
      <x:c r="B8" s="123" t="str">
        <x:v>Effective federal funds rate</x:v>
      </x:c>
      <x:c r="C8" s="123" t="str">
        <x:v>https://fred.stlouisfed.org/series/DFF</x:v>
      </x:c>
      <x:c r="D8" s="123" t="str">
        <x:v>Daily observations averaged by quarter.</x:v>
      </x:c>
    </x:row>
    <x:row r="9" ht="38" hidden="0" customHeight="1">
      <x:c r="A9" s="123" t="str">
        <x:v>FRED DGS10</x:v>
      </x:c>
      <x:c r="B9" s="123" t="str">
        <x:v>10-year Treasury yield</x:v>
      </x:c>
      <x:c r="C9" s="123" t="str">
        <x:v>https://fred.stlouisfed.org/series/DGS10</x:v>
      </x:c>
      <x:c r="D9" s="123" t="str">
        <x:v>Daily observations averaged by quarter.</x:v>
      </x:c>
    </x:row>
    <x:row r="10" ht="38" hidden="0" customHeight="1">
      <x:c r="A10" s="123" t="str">
        <x:v>Cached FDIC financials</x:v>
      </x:c>
      <x:c r="B10" s="123" t="str">
        <x:v>Reproducibility</x:v>
      </x:c>
      <x:c r="C10" s="123" t="str">
        <x:v>data/raw/fdic_financials_2022q4.json</x:v>
      </x:c>
      <x:c r="D10" s="123" t="str">
        <x:v>Included with the workbook.</x:v>
      </x:c>
    </x:row>
    <x:row r="11" ht="38" hidden="0" customHeight="1">
      <x:c r="A11" s="123" t="str">
        <x:v>Cached FDIC failures</x:v>
      </x:c>
      <x:c r="B11" s="123" t="str">
        <x:v>Reproducibility</x:v>
      </x:c>
      <x:c r="C11" s="123" t="str">
        <x:v>data/raw/fdic_failures_2023.json</x:v>
      </x:c>
      <x:c r="D11" s="123" t="str">
        <x:v>Included with the workbook.</x:v>
      </x:c>
    </x:row>
    <x:row r="12" ht="38" hidden="0" customHeight="1">
      <x:c r="A12" s="123" t="str">
        <x:v>Cached FRED series</x:v>
      </x:c>
      <x:c r="B12" s="123" t="str">
        <x:v>Macroeconomic context</x:v>
      </x:c>
      <x:c r="C12" s="123" t="str">
        <x:v>data/raw/fred_dff.csv and data/raw/fred_dgs10.csv</x:v>
      </x:c>
      <x:c r="D12" s="123" t="str">
        <x:v>Included with the workbook.</x:v>
      </x:c>
    </x:row>
    <x:row r="13" ht="24" hidden="0" customHeight="1">
      <x:c r="A13" s="123" t="str">
        <x:v>Zenodo version 1.0.1 archive</x:v>
      </x:c>
      <x:c r="B13" s="123" t="str">
        <x:v>Independent timestamp for the frozen specification</x:v>
      </x:c>
      <x:c r="C13" s="123" t="str">
        <x:v>https://doi.org/10.5281/zenodo.23246551</x:v>
      </x:c>
      <x:c r="D13" s="123" t="str">
        <x:v>Published October 8, 2026, before the planned historical and prospective tests.</x:v>
      </x:c>
    </x:row>
    <x:row r="14" ht="38" customHeight="1">
      <x:c r="A14" s="122" t="str">
        <x:v>Checksum manifest</x:v>
      </x:c>
      <x:c r="B14" s="122" t="str">
        <x:v>File integrity</x:v>
      </x:c>
      <x:c r="C14" s="122" t="str">
        <x:v>call_report_v3_support/SHA256SUMS.txt</x:v>
      </x:c>
      <x:c r="D14" s="122" t="str">
        <x:v>Use SHA-256 values to confirm the archived inputs and code are unchanged.</x:v>
      </x:c>
    </x:row>
  </x:sheetData>
  <x:mergeCells>
    <x:mergeCell ref="A1:D1"/>
    <x:mergeCell ref="A2:D2"/>
  </x:mergeCells>
  <x:pageMargins left="0.7" right="0.7" top="0.75" bottom="0.75" header="0.3" footer="0.3"/>
  <x:tableParts count="1">
    <x:tablePart xmlns:r="http://schemas.openxmlformats.org/officeDocument/2006/relationships" r:id="Raa690ddc36ef4727"/>
  </x:tableParts>
</x:worksheet>
</file>