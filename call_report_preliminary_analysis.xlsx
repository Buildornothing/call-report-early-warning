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6.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ec12744de64d0c" /></Relationships>
</file>

<file path=xl/workbook.xml><?xml version="1.0" encoding="utf-8"?>
<x:workbook xmlns:x="http://schemas.openxmlformats.org/spreadsheetml/2006/main">
  <x:sheets>
    <x:sheet xmlns:r="http://schemas.openxmlformats.org/officeDocument/2006/relationships" name="Purpose &amp; Endeavor Link" sheetId="1" r:id="R8e467e260d124ad8"/>
    <x:sheet xmlns:r="http://schemas.openxmlformats.org/officeDocument/2006/relationships" name="Executive Summary" sheetId="2" r:id="R2e95fb2f8b2c4988"/>
    <x:sheet xmlns:r="http://schemas.openxmlformats.org/officeDocument/2006/relationships" name="Robustness Check" sheetId="3" r:id="R02da1686874d40b0"/>
    <x:sheet xmlns:r="http://schemas.openxmlformats.org/officeDocument/2006/relationships" name="Review Findings" sheetId="4" r:id="R410b9bb72079406d"/>
    <x:sheet xmlns:r="http://schemas.openxmlformats.org/officeDocument/2006/relationships" name="Validation Roadmap" sheetId="5" r:id="R10790eb1b12f48fb"/>
    <x:sheet xmlns:r="http://schemas.openxmlformats.org/officeDocument/2006/relationships" name="Milestones" sheetId="6" r:id="R8b8c577a661043fd"/>
    <x:sheet xmlns:r="http://schemas.openxmlformats.org/officeDocument/2006/relationships" name="Failed Bank Profiles" sheetId="7" r:id="R4aee0d79f8114b21"/>
    <x:sheet xmlns:r="http://schemas.openxmlformats.org/officeDocument/2006/relationships" name="Signal Comparison" sheetId="8" r:id="R4daef21afa0446cd"/>
    <x:sheet xmlns:r="http://schemas.openxmlformats.org/officeDocument/2006/relationships" name="Cohort Summary" sheetId="9" r:id="Rb0d51e9de4354b7c"/>
    <x:sheet xmlns:r="http://schemas.openxmlformats.org/officeDocument/2006/relationships" name="Peer Metrics" sheetId="10" r:id="R4365f55ec57545a1"/>
    <x:sheet xmlns:r="http://schemas.openxmlformats.org/officeDocument/2006/relationships" name="Weight Sensitivity" sheetId="11" r:id="Rb67fd37bb0614932"/>
    <x:sheet xmlns:r="http://schemas.openxmlformats.org/officeDocument/2006/relationships" name="Macro Context" sheetId="12" r:id="Rb30363fdcdf548a5"/>
    <x:sheet xmlns:r="http://schemas.openxmlformats.org/officeDocument/2006/relationships" name="Methodology" sheetId="13" r:id="Rcb28d4b0078a45c4"/>
    <x:sheet xmlns:r="http://schemas.openxmlformats.org/officeDocument/2006/relationships" name="Sources" sheetId="14" r:id="Ra3b49442ce524a53"/>
  </x:sheets>
</x:workbook>
</file>

<file path=xl/sharedStrings.xml><?xml version="1.0" encoding="utf-8"?>
<x:sst xmlns:x="http://schemas.openxmlformats.org/spreadsheetml/2006/main">
  <x:si>
    <x:t xml:space="preserve">Purpose of This Workbook</x:t>
  </x:si>
  <x:si>
    <x:t xml:space="preserve">Preliminary research by Anjola Odunaike, built only from public data, supporting the proposed endeavor.</x:t>
  </x:si>
  <x:si>
    <x:t xml:space="preserve">The proposed endeavor</x:t>
  </x:si>
  <x:si>
    <x:t xml:space="preserve">Develop, validate, and disseminate a transferable, integrated stress-testing and early-warning methodology that measures how interest-rate, liquidity, and credit risks interact across bank balance sheets, using publicly available bank-level regulatory data (including FFIEC Call Reports) together with macroeconomic and market data, to help U.S. regional and midsize banks protect capital and liquidity and preserve lending capacity before or as financial stress intensifies.</x:t>
  </x:si>
  <x:si>
    <x:t xml:space="preserve">What this workbook shows</x:t>
  </x:si>
  <x:si>
    <x:t xml:space="preserve">How this relates to the national interest waiver (Matter of Dhanasar)</x:t>
  </x:si>
  <x:si>
    <x:t xml:space="preserve">Reproducibility checklist (complete before using as an exhibit)</x:t>
  </x:si>
  <x:si>
    <x:t xml:space="preserve">Item</x:t>
  </x:si>
  <x:si>
    <x:t xml:space="preserve">Status</x:t>
  </x:si>
  <x:si>
    <x:t xml:space="preserve">Action</x:t>
  </x:si>
  <x:si>
    <x:t xml:space="preserve">Evidence it creates</x:t>
  </x:si>
  <x:si>
    <x:t xml:space="preserve">Preliminary Call Report Early-Warning Analysis</x:t>
  </x:si>
  <x:si>
    <x:t xml:space="preserve">Exploratory 2022Q4 cross-section linked to FDIC-recorded 2023 failures. The trigger specification is an in-sample research hypothesis, not a validated prediction model.</x:t>
  </x:si>
  <x:si>
    <x:t xml:space="preserve">Scope and reproducible controls</x:t>
  </x:si>
  <x:si>
    <x:t xml:space="preserve">Historical diagnostic result</x:t>
  </x:si>
  <x:si>
    <x:t xml:space="preserve">Report date</x:t>
  </x:si>
  <x:si>
    <x:t xml:space="preserve">December 31, 2022</x:t>
  </x:si>
  <x:si>
    <x:t xml:space="preserve">Trigger score failures in top decile</x:t>
  </x:si>
  <x:si>
    <x:t xml:space="preserve">Asset band</x:t>
  </x:si>
  <x:si>
    <x:t xml:space="preserve">$10bn to $250bn</x:t>
  </x:si>
  <x:si>
    <x:t xml:space="preserve">Baseline score failures in top decile</x:t>
  </x:si>
  <x:si>
    <x:t xml:space="preserve">Peer banks</x:t>
  </x:si>
  <x:si>
    <x:t xml:space="preserve">Median trigger score, failed banks</x:t>
  </x:si>
  <x:si>
    <x:t xml:space="preserve">2023 failures in band</x:t>
  </x:si>
  <x:si>
    <x:t xml:space="preserve">Median trigger score, other peers</x:t>
  </x:si>
  <x:si>
    <x:t xml:space="preserve">Top-decile cutoff</x:t>
  </x:si>
  <x:si>
    <x:t xml:space="preserve">2022Q4 average effective fed funds rate</x:t>
  </x:si>
  <x:si>
    <x:t xml:space="preserve">Interpretation</x:t>
  </x:si>
  <x:si>
    <x:t xml:space="preserve">Required caution</x:t>
  </x:si>
  <x:si>
    <x:t xml:space="preserve">Validation Roadmap</x:t>
  </x:si>
  <x:si>
    <x:t xml:space="preserve">Pre-stated tests the methodology must pass. Success criteria are set before results are known. Data: FFIEC Call Reports / FDIC BankFind (bank level), FDIC failure list, FRED (rates and macro).</x:t>
  </x:si>
  <x:si>
    <x:t xml:space="preserve">Milestones, Q4 2026 to 2029</x:t>
  </x:si>
  <x:si>
    <x:t xml:space="preserve">Work is carried out alongside full-time risk-modeling employment at U.S. financial institutions, using public data only. Each milestone produces a dated, verifiable output. Venues are targets; confirm calls for papers and dates.</x:t>
  </x:si>
  <x:si>
    <x:t xml:space="preserve">Phase</x:t>
  </x:si>
  <x:si>
    <x:t xml:space="preserve">Target date</x:t>
  </x:si>
  <x:si>
    <x:t xml:space="preserve">Milestone</x:t>
  </x:si>
  <x:si>
    <x:t xml:space="preserve">Deliverable</x:t>
  </x:si>
  <x:si>
    <x:t xml:space="preserve">Verifiable evidence</x:t>
  </x:si>
  <x:si>
    <x:t xml:space="preserve">3. Tools</x:t>
  </x:si>
  <x:si>
    <x:t xml:space="preserve">Q4 2028</x:t>
  </x:si>
  <x:si>
    <x:t xml:space="preserve">Publish validation protocol aligned with model risk management guidance (SR 11-7)</x:t>
  </x:si>
  <x:si>
    <x:t xml:space="preserve">Protocol document</x:t>
  </x:si>
  <x:si>
    <x:t xml:space="preserve">Public release</x:t>
  </x:si>
  <x:si>
    <x:t xml:space="preserve">Planned</x:t>
  </x:si>
  <x:si>
    <x:t xml:space="preserve">4. Training and upkeep</x:t>
  </x:si>
  <x:si>
    <x:t xml:space="preserve">2029</x:t>
  </x:si>
  <x:si>
    <x:t xml:space="preserve">Training workshops or webinars for regional and community bank risk staff</x:t>
  </x:si>
  <x:si>
    <x:t xml:space="preserve">Training materials</x:t>
  </x:si>
  <x:si>
    <x:t xml:space="preserve">Session records; participant feedback</x:t>
  </x:si>
  <x:si>
    <x:t xml:space="preserve">Annually from 2028</x:t>
  </x:si>
  <x:si>
    <x:t xml:space="preserve">Refresh with each year-end Call Report cycle; compare with published Federal Reserve models (T7)</x:t>
  </x:si>
  <x:si>
    <x:t xml:space="preserve">Annual update note</x:t>
  </x:si>
  <x:si>
    <x:t xml:space="preserve">Dated releases</x:t>
  </x:si>
  <x:si>
    <x:t xml:space="preserve">Status cells (blue) are for Anjola to update as milestones are completed.</x:t>
  </x:si>
  <x:si>
    <x:t xml:space="preserve">Historical Profiles of In-Band 2023 Failures</x:t>
  </x:si>
  <x:si>
    <x:t xml:space="preserve">Values are based on December 31, 2022 public regulatory data. Percentile scores range from 0 to 100 after display formatting.</x:t>
  </x:si>
  <x:si>
    <x:t xml:space="preserve">Failed-Bank and Peer Cohort Summary</x:t>
  </x:si>
  <x:si>
    <x:t xml:space="preserve">Descriptive statistics only. The failed cohort contains three institutions in the selected asset band.</x:t>
  </x:si>
  <x:si>
    <x:t xml:space="preserve">Weight Sensitivity for the Three Historical Failures</x:t>
  </x:si>
  <x:si>
    <x:t xml:space="preserve">Alternative weights illustrate specification sensitivity. They do not constitute independent validation.</x:t>
  </x:si>
  <x:si>
    <x:t xml:space="preserve">Quarterly Interest-Rate Context</x:t>
  </x:si>
  <x:si>
    <x:t xml:space="preserve">Daily FRED observations averaged by quarter. These series provide context and are not yet direct inputs to the cross-sectional score.</x:t>
  </x:si>
  <x:si>
    <x:t xml:space="preserve">Methodology and Validation Guardrails</x:t>
  </x:si>
  <x:si>
    <x:t xml:space="preserve">Transparent proxy definitions and limitations for the exploratory prototype.</x:t>
  </x:si>
  <x:si>
    <x:t xml:space="preserve">Dimension</x:t>
  </x:si>
  <x:si>
    <x:t xml:space="preserve">Measure</x:t>
  </x:si>
  <x:si>
    <x:t xml:space="preserve">Formula / construction</x:t>
  </x:si>
  <x:si>
    <x:t xml:space="preserve">Research interpretation</x:t>
  </x:si>
  <x:si>
    <x:t xml:space="preserve">Interest-rate</x:t>
  </x:si>
  <x:si>
    <x:t xml:space="preserve">Securities concentration</x:t>
  </x:si>
  <x:si>
    <x:t xml:space="preserve">Securities / total assets</x:t>
  </x:si>
  <x:si>
    <x:t xml:space="preserve">Higher values may indicate greater exposure to securities valuation changes.</x:t>
  </x:si>
  <x:si>
    <x:t xml:space="preserve">Securities MTM gap</x:t>
  </x:si>
  <x:si>
    <x:t xml:space="preserve">max(securities book amount - market value, 0) / equity</x:t>
  </x:si>
  <x:si>
    <x:t xml:space="preserve">Proxy for a valuation gap relative to the equity buffer, not a duration model.</x:t>
  </x:si>
  <x:si>
    <x:t xml:space="preserve">Funding/liquidity</x:t>
  </x:si>
  <x:si>
    <x:t xml:space="preserve">Uninsured-deposit concentration</x:t>
  </x:si>
  <x:si>
    <x:t xml:space="preserve">Estimated uninsured deposits / total deposits</x:t>
  </x:si>
  <x:si>
    <x:t xml:space="preserve">Higher values may indicate less stable funding concentration.</x:t>
  </x:si>
  <x:si>
    <x:t xml:space="preserve">Cash buffer</x:t>
  </x:si>
  <x:si>
    <x:t xml:space="preserve">Cash and due from depository institutions / total assets</x:t>
  </x:si>
  <x:si>
    <x:t xml:space="preserve">Lower values indicate less immediately available on-balance-sheet cash.</x:t>
  </x:si>
  <x:si>
    <x:t xml:space="preserve">Credit</x:t>
  </x:si>
  <x:si>
    <x:t xml:space="preserve">Noncurrent loans</x:t>
  </x:si>
  <x:si>
    <x:t xml:space="preserve">(nonaccrual + 90-day past due loans) / gross loans</x:t>
  </x:si>
  <x:si>
    <x:t xml:space="preserve">Higher values indicate realized credit deterioration.</x:t>
  </x:si>
  <x:si>
    <x:t xml:space="preserve">Early delinquency</x:t>
  </x:si>
  <x:si>
    <x:t xml:space="preserve">30-89 day past due loans / gross loans</x:t>
  </x:si>
  <x:si>
    <x:t xml:space="preserve">Higher values indicate emerging credit stress.</x:t>
  </x:si>
  <x:si>
    <x:t xml:space="preserve">Capital</x:t>
  </x:si>
  <x:si>
    <x:t xml:space="preserve">Equity ratio</x:t>
  </x:si>
  <x:si>
    <x:t xml:space="preserve">Equity / total assets</x:t>
  </x:si>
  <x:si>
    <x:t xml:space="preserve">Lower values indicate a smaller accounting capital buffer.</x:t>
  </x:si>
  <x:si>
    <x:t xml:space="preserve">Interaction</x:t>
  </x:si>
  <x:si>
    <x:t xml:space="preserve">Rate-funding interaction</x:t>
  </x:si>
  <x:si>
    <x:t xml:space="preserve">square root(rate score x funding score)</x:t>
  </x:si>
  <x:si>
    <x:t xml:space="preserve">Increases when both rate and funding vulnerability are elevated.</x:t>
  </x:si>
  <x:si>
    <x:t xml:space="preserve">Trigger</x:t>
  </x:si>
  <x:si>
    <x:t xml:space="preserve">Dominant-risk trigger</x:t>
  </x:si>
  <x:si>
    <x:t xml:space="preserve">max(MTM-gap percentile, uninsured-deposit percentile)</x:t>
  </x:si>
  <x:si>
    <x:t xml:space="preserve">Prevents an extreme funding or valuation signal from being averaged away.</x:t>
  </x:si>
  <x:si>
    <x:t xml:space="preserve">Composite</x:t>
  </x:si>
  <x:si>
    <x:t xml:space="preserve">Trigger-augmented score</x:t>
  </x:si>
  <x:si>
    <x:t xml:space="preserve">15% rate + 25% funding + 5% credit + 5% capital + 20% interaction + 30% trigger</x:t>
  </x:si>
  <x:si>
    <x:t xml:space="preserve">Limitations that must remain visible</x:t>
  </x:si>
  <x:si>
    <x:t xml:space="preserve">Only one pre-failure cross-section and three failures in the selected asset band are evaluated.</x:t>
  </x:si>
  <x:si>
    <x:t xml:space="preserve">Weights are transparent hypotheses, not statistically estimated coefficients.</x:t>
  </x:si>
  <x:si>
    <x:t xml:space="preserve">The dominant-risk trigger was specified after diagnostic review of the 2023 episode and is not out-of-sample evidence.</x:t>
  </x:si>
  <x:si>
    <x:t xml:space="preserve">Securities market-value gap is a proxy and is not a full economic-value-of-equity or duration model.</x:t>
  </x:si>
  <x:si>
    <x:t xml:space="preserve">Public Call Report fields do not capture deposit speed, intraday liquidity, or every off-balance-sheet exposure.</x:t>
  </x:si>
  <x:si>
    <x:t xml:space="preserve">Top-decile capture is descriptive and does not establish causation or out-of-sample predictive accuracy.</x:t>
  </x:si>
  <x:si>
    <x:t xml:space="preserve">Source Provenance</x:t>
  </x:si>
  <x:si>
    <x:t xml:space="preserve">Public sources and local cached files used for this dated analysis.</x:t>
  </x:si>
</x:sst>
</file>

<file path=xl/styles.xml><?xml version="1.0" encoding="utf-8"?>
<x:styleSheet xmlns:x="http://schemas.openxmlformats.org/spreadsheetml/2006/main">
  <x:numFmts count="9">
    <x:numFmt numFmtId="164" formatCode="General"/>
    <x:numFmt numFmtId="165" formatCode="0"/>
    <x:numFmt numFmtId="166" formatCode="0.0"/>
    <x:numFmt numFmtId="167" formatCode="0.000%"/>
    <x:numFmt numFmtId="168" formatCode="General"/>
    <x:numFmt numFmtId="169" formatCode="0%"/>
    <x:numFmt numFmtId="170" formatCode="0.0%"/>
    <x:numFmt numFmtId="171" formatCode="0.00%"/>
    <x:numFmt numFmtId="172" formatCode="0.000"/>
  </x:numFmts>
  <x:fonts count="27">
    <x:font>
      <x:sz val="10"/>
      <x:name val="Arial"/>
      <x:family val="2"/>
    </x:font>
    <x:font>
      <x:sz val="10"/>
      <x:name val="Arial"/>
    </x:font>
    <x:font>
      <x:sz val="10"/>
      <x:name val="Arial"/>
    </x:font>
    <x:font>
      <x:sz val="10"/>
      <x:name val="Arial"/>
    </x:font>
    <x:font>
      <x:sz val="11"/>
      <x:name val="Calibri"/>
    </x:font>
    <x:font>
      <x:b/>
      <x:sz val="18"/>
      <x:color rgb="FFFFFFFF"/>
      <x:name val="Arial"/>
    </x:font>
    <x:font>
      <x:sz val="10"/>
      <x:color rgb="FF17365D"/>
      <x:name val="Arial"/>
    </x:font>
    <x:font>
      <x:b/>
      <x:sz val="11"/>
      <x:color rgb="FF17365D"/>
      <x:name val="Arial"/>
    </x:font>
    <x:font>
      <x:sz val="10"/>
      <x:color rgb="FF222222"/>
      <x:name val="Arial"/>
    </x:font>
    <x:font>
      <x:b/>
      <x:sz val="10"/>
      <x:color rgb="FF17365D"/>
      <x:name val="Arial"/>
    </x:font>
    <x:font>
      <x:b/>
      <x:sz val="10"/>
      <x:color rgb="FFFFFFFF"/>
      <x:name val="Arial"/>
    </x:font>
    <x:font>
      <x:i/>
      <x:sz val="10"/>
      <x:color rgb="FF17365D"/>
      <x:name val="Arial"/>
    </x:font>
    <x:font>
      <x:sz val="11"/>
      <x:color rgb="FF234F1E"/>
      <x:name val="Arial"/>
    </x:font>
    <x:font>
      <x:b/>
      <x:sz val="11"/>
      <x:color rgb="FFB23A48"/>
      <x:name val="Arial"/>
    </x:font>
    <x:font>
      <x:sz val="10"/>
      <x:color rgb="FF0000FF"/>
      <x:name val="Arial"/>
    </x:font>
    <x:font>
      <x:sz val="10"/>
      <x:color rgb="FF008000"/>
      <x:name val="Arial"/>
    </x:font>
    <x:font>
      <x:b/>
      <x:sz val="10"/>
      <x:color rgb="FFB23A48"/>
      <x:name val="Arial"/>
    </x:font>
    <x:font>
      <x:b/>
      <x:sz val="18"/>
      <x:color rgb="FF000000"/>
      <x:name val="Arial"/>
      <x:family val="2"/>
    </x:font>
    <x:font>
      <x:sz val="6.75"/>
      <x:color rgb="FF000000"/>
      <x:name val="Arial"/>
      <x:family val="2"/>
    </x:font>
    <x:font>
      <x:sz val="10"/>
      <x:color rgb="FF000000"/>
      <x:name val="Arial"/>
      <x:family val="2"/>
    </x:font>
    <x:font>
      <x:b/>
      <x:sz val="10"/>
      <x:color rgb="FFFFFFFF"/>
      <x:name val="Arial"/>
      <x:family val="2"/>
    </x:font>
    <x:font>
      <x:sz val="10"/>
      <x:color rgb="FF222222"/>
      <x:name val="Arial"/>
      <x:family val="2"/>
    </x:font>
    <x:font>
      <x:b/>
      <x:sz val="10"/>
      <x:color rgb="FF17365D"/>
      <x:name val="Arial"/>
      <x:family val="2"/>
    </x:font>
    <x:font>
      <x:sz val="10"/>
      <x:color rgb="FF2F75B5"/>
      <x:name val="Arial"/>
    </x:font>
    <x:font>
      <x:sz val="10"/>
      <x:color rgb="FF27632A"/>
      <x:name val="Arial"/>
    </x:font>
    <x:font>
      <x:b/>
      <x:sz val="10"/>
      <x:color rgb="FFC23B44"/>
      <x:name val="Arial"/>
    </x:font>
    <x:font>
      <x:b/>
      <x:sz val="10"/>
      <x:color rgb="FF27632A"/>
      <x:name val="Arial"/>
    </x:font>
  </x:fonts>
  <x:fills count="13">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FCE4D6"/>
      </x:patternFill>
    </x:fill>
    <x:fill>
      <x:patternFill patternType="solid">
        <x:fgColor rgb="FFFFFF00"/>
      </x:patternFill>
    </x:fill>
    <x:fill>
      <x:patternFill patternType="solid">
        <x:fgColor rgb="FF2F75B5"/>
      </x:patternFill>
    </x:fill>
    <x:fill>
      <x:patternFill patternType="solid">
        <x:fgColor rgb="FFD9EAF7"/>
      </x:patternFill>
    </x:fill>
    <x:fill>
      <x:patternFill patternType="solid">
        <x:fgColor rgb="FFFFFFFF"/>
      </x:patternFill>
    </x:fill>
    <x:fill>
      <x:patternFill patternType="solid">
        <x:fgColor rgb="FFE2F0D9"/>
      </x:patternFill>
    </x:fill>
  </x:fills>
  <x:borders count="19">
    <x:border diagonalUp="0" diagonalDown="0">
      <x:left/>
      <x:right/>
      <x:top/>
      <x:bottom/>
      <x:diagonal/>
    </x:border>
    <x:border diagonalUp="0" diagonalDown="0">
      <x:left style="thin">
        <x:color rgb="FFBFBFBF"/>
      </x:left>
      <x:right style="thin">
        <x:color rgb="FFBFBFBF"/>
      </x:right>
      <x:top style="thin">
        <x:color rgb="FFBFBFBF"/>
      </x:top>
      <x:bottom style="thin">
        <x:color rgb="FFBFBFBF"/>
      </x:bottom>
      <x:diagonal/>
    </x:border>
    <x:border diagonalUp="0" diagonalDown="0">
      <x:left style="thin">
        <x:color rgb="FF9EADBA"/>
      </x:left>
      <x:right style="thin">
        <x:color rgb="FF9EADBA"/>
      </x:right>
      <x:top style="thin">
        <x:color rgb="FF9EADBA"/>
      </x:top>
      <x:bottom style="thin">
        <x:color rgb="FF9EADBA"/>
      </x:bottom>
      <x:diagonal/>
    </x:border>
    <x:border diagonalUp="0" diagonalDown="0">
      <x:left style="thin">
        <x:color rgb="FFE7E6E6"/>
      </x:left>
      <x:right style="thin">
        <x:color rgb="FFE7E6E6"/>
      </x:right>
      <x:top style="thin">
        <x:color rgb="FFE7E6E6"/>
      </x:top>
      <x:bottom style="thin">
        <x:color rgb="FFE7E6E6"/>
      </x:bottom>
      <x:diagonal/>
    </x:border>
    <x:border diagonalUp="0" diagonalDown="0">
      <x:left style="thin">
        <x:color rgb="FF2F6B5E"/>
      </x:left>
      <x:right style="thin">
        <x:color rgb="FF2F6B5E"/>
      </x:right>
      <x:top style="thin">
        <x:color rgb="FF2F6B5E"/>
      </x:top>
      <x:bottom style="thin">
        <x:color rgb="FF2F6B5E"/>
      </x:bottom>
      <x:diagonal/>
    </x:border>
    <x:border diagonalUp="0" diagonalDown="0">
      <x:left style="thin">
        <x:color rgb="FFB23A48"/>
      </x:left>
      <x:right style="thin">
        <x:color rgb="FFB23A48"/>
      </x:right>
      <x:top style="thin">
        <x:color rgb="FFB23A48"/>
      </x:top>
      <x:bottom style="thin">
        <x:color rgb="FFB23A48"/>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x:right style="thin">
        <x:color rgb="FFFFFFFF"/>
      </x:right>
      <x:top/>
      <x:bottom style="thin">
        <x:color rgb="FFFFFFFF"/>
      </x:bottom>
      <x:diagonal/>
    </x:border>
    <x:border diagonalUp="0" diagonalDown="0">
      <x:left style="thin">
        <x:color rgb="FFFFFFFF"/>
      </x:left>
      <x:right style="thin">
        <x:color rgb="FFFFFFFF"/>
      </x:right>
      <x:top/>
      <x:bottom style="thin">
        <x:color rgb="FFFFFFFF"/>
      </x:bottom>
      <x:diagonal/>
    </x:border>
    <x:border diagonalUp="0" diagonalDown="0">
      <x:left style="thin">
        <x:color rgb="FFFFFFFF"/>
      </x:left>
      <x:right/>
      <x:top/>
      <x:bottom style="thin">
        <x:color rgb="FFFFFFFF"/>
      </x:bottom>
      <x:diagonal/>
    </x:border>
    <x:border diagonalUp="0" diagonalDown="0">
      <x:left/>
      <x:right/>
      <x:top/>
      <x:bottom style="thin">
        <x:color rgb="FFD9D9D9"/>
      </x:bottom>
      <x:diagonal/>
    </x:border>
    <x:border diagonalUp="0" diagonalDown="0">
      <x:left style="thin">
        <x:color rgb="FFBFBFBF"/>
      </x:left>
      <x:right style="thin">
        <x:color rgb="FFFFFFFF"/>
      </x:right>
      <x:top style="thin">
        <x:color rgb="FFBFBFBF"/>
      </x:top>
      <x:bottom style="thin">
        <x:color rgb="FFFFFFFF"/>
      </x:bottom>
      <x:diagonal/>
    </x:border>
    <x:border diagonalUp="0" diagonalDown="0">
      <x:left style="thin">
        <x:color rgb="FFFFFFFF"/>
      </x:left>
      <x:right style="thin">
        <x:color rgb="FFFFFFFF"/>
      </x:right>
      <x:top style="thin">
        <x:color rgb="FFBFBFBF"/>
      </x:top>
      <x:bottom style="thin">
        <x:color rgb="FFFFFFFF"/>
      </x:bottom>
      <x:diagonal/>
    </x:border>
    <x:border diagonalUp="0" diagonalDown="0">
      <x:left style="thin">
        <x:color rgb="FFFFFFFF"/>
      </x:left>
      <x:right style="thin">
        <x:color rgb="FFBFBFBF"/>
      </x:right>
      <x:top style="thin">
        <x:color rgb="FFBFBFBF"/>
      </x:top>
      <x:bottom style="thin">
        <x:color rgb="FFFFFFFF"/>
      </x:bottom>
      <x:diagonal/>
    </x:border>
    <x:border diagonalUp="0" diagonalDown="0">
      <x:left style="thin">
        <x:color rgb="FFBFBFBF"/>
      </x:left>
      <x:right style="thin">
        <x:color rgb="FFBFBFBF"/>
      </x:right>
      <x:top style="thin">
        <x:color rgb="FFBFBFBF"/>
      </x:top>
      <x:bottom style="thin">
        <x:color rgb="FFD9D9D9"/>
      </x:bottom>
      <x:diagonal/>
    </x:border>
    <x:border diagonalUp="0" diagonalDown="0">
      <x:left style="thin">
        <x:color rgb="FF9EADBA"/>
      </x:left>
      <x:right/>
      <x:top style="thin">
        <x:color rgb="FF9EADBA"/>
      </x:top>
      <x:bottom style="thin">
        <x:color rgb="FF9EADBA"/>
      </x:bottom>
      <x:diagonal/>
    </x:border>
    <x:border diagonalUp="0" diagonalDown="0">
      <x:left/>
      <x:right/>
      <x:top style="thin">
        <x:color rgb="FF9EADBA"/>
      </x:top>
      <x:bottom style="thin">
        <x:color rgb="FF9EADBA"/>
      </x:bottom>
      <x:diagonal/>
    </x:border>
    <x:border diagonalUp="0" diagonalDown="0">
      <x:left/>
      <x:right style="thin">
        <x:color rgb="FF9EADBA"/>
      </x:right>
      <x:top style="thin">
        <x:color rgb="FF9EADBA"/>
      </x:top>
      <x:bottom style="thin">
        <x:color rgb="FF9EADBA"/>
      </x:bottom>
      <x:diagonal/>
    </x:border>
    <x:border diagonalUp="0" diagonalDown="0">
      <x:left style="thin">
        <x:color rgb="FFE7E6E6"/>
      </x:left>
      <x:right style="thin">
        <x:color rgb="FFE7E6E6"/>
      </x:right>
      <x:top style="thin">
        <x:color rgb="FFE7E6E6"/>
      </x:top>
      <x:bottom style="thin">
        <x:color rgb="FFD9D9D9"/>
      </x:bottom>
      <x:diagonal/>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135">
    <x:xf numFmtId="164" fontId="0" fillId="0" borderId="0" xfId="0" applyFont="0" applyBorder="0" applyAlignment="0" applyProtection="0">
      <x:alignment horizontal="general" vertical="bottom" wrapText="0" shrinkToFit="0"/>
      <x:protection locked="1" hidden="0"/>
    </x:xf>
    <x:xf numFmtId="164" fontId="4" fillId="0" borderId="0" xfId="20" applyFont="0" applyBorder="0" applyAlignment="0" applyProtection="0">
      <x:alignment horizontal="general" vertical="bottom" wrapText="0" shrinkToFit="0"/>
      <x:protection locked="1" hidden="0"/>
    </x:xf>
    <x:xf numFmtId="164" fontId="5" fillId="2" borderId="0" xfId="20" applyFont="1" applyBorder="1" applyAlignment="0" applyProtection="0">
      <x:alignment horizontal="general" vertical="bottom" wrapText="0" shrinkToFit="0"/>
      <x:protection locked="1" hidden="0"/>
    </x:xf>
    <x:xf numFmtId="164" fontId="6" fillId="3" borderId="0" xfId="20" applyFont="1" applyBorder="1" applyAlignment="1" applyProtection="0">
      <x:alignment horizontal="general" vertical="top" wrapText="1" shrinkToFit="0"/>
      <x:protection locked="1" hidden="0"/>
    </x:xf>
    <x:xf numFmtId="164" fontId="7" fillId="4" borderId="0" xfId="20" applyFont="1" applyBorder="1" applyAlignment="0" applyProtection="0">
      <x:alignment horizontal="general" vertical="bottom" wrapText="0" shrinkToFit="0"/>
      <x:protection locked="1" hidden="0"/>
    </x:xf>
    <x:xf numFmtId="164" fontId="8" fillId="0" borderId="0" xfId="20" applyFont="1" applyBorder="1" applyAlignment="1" applyProtection="0">
      <x:alignment horizontal="general" vertical="top" wrapText="1" shrinkToFit="0"/>
      <x:protection locked="1" hidden="0"/>
    </x:xf>
    <x:xf numFmtId="164" fontId="9" fillId="0" borderId="1" xfId="20" applyFont="1" applyBorder="1" applyAlignment="1" applyProtection="0">
      <x:alignment horizontal="general" vertical="top" wrapText="1" shrinkToFit="0"/>
      <x:protection locked="1" hidden="0"/>
    </x:xf>
    <x:xf numFmtId="164" fontId="8" fillId="0" borderId="1" xfId="20" applyFont="1" applyBorder="1" applyAlignment="1" applyProtection="0">
      <x:alignment horizontal="general" vertical="top" wrapText="1" shrinkToFit="0"/>
      <x:protection locked="1" hidden="0"/>
    </x:xf>
    <x:xf numFmtId="164" fontId="10" fillId="5" borderId="1" xfId="20" applyFont="1" applyBorder="1" applyAlignment="1" applyProtection="0">
      <x:alignment horizontal="general" vertical="top" wrapText="1" shrinkToFit="0"/>
      <x:protection locked="1" hidden="0"/>
    </x:xf>
    <x:xf numFmtId="164" fontId="5" fillId="2" borderId="0" xfId="20" applyFont="1" applyBorder="1" applyAlignment="1" applyProtection="0">
      <x:alignment horizontal="general" vertical="center" wrapText="0" shrinkToFit="0"/>
      <x:protection locked="1" hidden="0"/>
    </x:xf>
    <x:xf numFmtId="164" fontId="11" fillId="3" borderId="0" xfId="20" applyFont="1" applyBorder="1" applyAlignment="1" applyProtection="0">
      <x:alignment horizontal="general" vertical="center" wrapText="1" shrinkToFit="0"/>
      <x:protection locked="1" hidden="0"/>
    </x:xf>
    <x:xf numFmtId="164" fontId="7" fillId="4" borderId="2" xfId="20" applyFont="1" applyBorder="1" applyAlignment="0" applyProtection="0">
      <x:alignment horizontal="general" vertical="bottom" wrapText="0" shrinkToFit="0"/>
      <x:protection locked="1" hidden="0"/>
    </x:xf>
    <x:xf numFmtId="164" fontId="9" fillId="0" borderId="3" xfId="20" applyFont="1" applyBorder="1" applyAlignment="1" applyProtection="0">
      <x:alignment horizontal="general" vertical="center" wrapText="0" shrinkToFit="0"/>
      <x:protection locked="1" hidden="0"/>
    </x:xf>
    <x:xf numFmtId="164" fontId="8" fillId="0" borderId="3" xfId="20" applyFont="1" applyBorder="1" applyAlignment="1" applyProtection="0">
      <x:alignment horizontal="general" vertical="center" wrapText="0" shrinkToFit="0"/>
      <x:protection locked="1" hidden="0"/>
    </x:xf>
    <x:xf numFmtId="165" fontId="8" fillId="0" borderId="3" xfId="20" applyFont="1" applyBorder="1" applyAlignment="1" applyProtection="0">
      <x:alignment horizontal="general" vertical="center" wrapText="0" shrinkToFit="0"/>
      <x:protection locked="1" hidden="0"/>
    </x:xf>
    <x:xf numFmtId="166" fontId="8" fillId="0" borderId="3" xfId="20" applyFont="1" applyBorder="1" applyAlignment="1" applyProtection="0">
      <x:alignment horizontal="general" vertical="center" wrapText="0" shrinkToFit="0"/>
      <x:protection locked="1" hidden="0"/>
    </x:xf>
    <x:xf numFmtId="167" fontId="8" fillId="0" borderId="3" xfId="20" applyFont="1" applyBorder="1" applyAlignment="1" applyProtection="0">
      <x:alignment horizontal="general" vertical="center" wrapText="0" shrinkToFit="0"/>
      <x:protection locked="1" hidden="0"/>
    </x:xf>
    <x:xf numFmtId="164" fontId="12" fillId="6" borderId="4" xfId="20" applyFont="1" applyBorder="1" applyAlignment="1" applyProtection="0">
      <x:alignment horizontal="general" vertical="center" wrapText="1" shrinkToFit="0"/>
      <x:protection locked="1" hidden="0"/>
    </x:xf>
    <x:xf numFmtId="164" fontId="13" fillId="7" borderId="5" xfId="20" applyFont="1" applyBorder="1" applyAlignment="1" applyProtection="0">
      <x:alignment horizontal="general" vertical="center" wrapText="1" shrinkToFit="0"/>
      <x:protection locked="1" hidden="0"/>
    </x:xf>
    <x:xf numFmtId="164" fontId="9" fillId="0" borderId="0" xfId="20" applyFont="1" applyBorder="0" applyAlignment="0" applyProtection="0">
      <x:alignment horizontal="general" vertical="bottom" wrapText="0" shrinkToFit="0"/>
      <x:protection locked="1" hidden="0"/>
    </x:xf>
    <x:xf numFmtId="164" fontId="14" fillId="8" borderId="0" xfId="20" applyFont="1" applyBorder="0" applyAlignment="0" applyProtection="0">
      <x:alignment horizontal="general" vertical="bottom" wrapText="0" shrinkToFit="0"/>
      <x:protection locked="1" hidden="0"/>
    </x:xf>
    <x:xf numFmtId="164" fontId="8" fillId="0" borderId="0" xfId="20" applyFont="1" applyBorder="0" applyAlignment="0" applyProtection="0">
      <x:alignment horizontal="general" vertical="bottom" wrapText="0" shrinkToFit="0"/>
      <x:protection locked="1" hidden="0"/>
    </x:xf>
    <x:xf numFmtId="168" fontId="15" fillId="0" borderId="0" xfId="20" applyFont="1" applyBorder="0" applyAlignment="0" applyProtection="0">
      <x:alignment horizontal="general" vertical="bottom" wrapText="0" shrinkToFit="0"/>
      <x:protection locked="1" hidden="0"/>
    </x:xf>
    <x:xf numFmtId="164" fontId="14" fillId="0" borderId="0" xfId="20" applyFont="1" applyBorder="0" applyAlignment="1" applyProtection="0">
      <x:alignment horizontal="general" vertical="top" wrapText="1" shrinkToFit="0"/>
      <x:protection locked="1" hidden="0"/>
    </x:xf>
    <x:xf numFmtId="168" fontId="15" fillId="0" borderId="1" xfId="20" applyFont="1" applyBorder="1" applyAlignment="1" applyProtection="0">
      <x:alignment horizontal="general" vertical="top" wrapText="1" shrinkToFit="0"/>
      <x:protection locked="1" hidden="0"/>
    </x:xf>
    <x:xf numFmtId="169" fontId="8" fillId="0" borderId="1" xfId="20" applyFont="1" applyBorder="1" applyAlignment="1" applyProtection="0">
      <x:alignment horizontal="general" vertical="top" wrapText="1" shrinkToFit="0"/>
      <x:protection locked="1" hidden="0"/>
    </x:xf>
    <x:xf numFmtId="164" fontId="14" fillId="0" borderId="1" xfId="20" applyFont="1" applyBorder="1" applyAlignment="0" applyProtection="0">
      <x:alignment horizontal="general" vertical="bottom" wrapText="0" shrinkToFit="0"/>
      <x:protection locked="1" hidden="0"/>
    </x:xf>
    <x:xf numFmtId="168" fontId="15" fillId="0" borderId="1" xfId="20" applyFont="1" applyBorder="1" applyAlignment="0" applyProtection="0">
      <x:alignment horizontal="general" vertical="bottom" wrapText="0" shrinkToFit="0"/>
      <x:protection locked="1" hidden="0"/>
    </x:xf>
    <x:xf numFmtId="168" fontId="8" fillId="0" borderId="1" xfId="20" applyFont="1" applyBorder="1" applyAlignment="0" applyProtection="0">
      <x:alignment horizontal="general" vertical="bottom" wrapText="0" shrinkToFit="0"/>
      <x:protection locked="1" hidden="0"/>
    </x:xf>
    <x:xf numFmtId="164" fontId="16" fillId="0" borderId="0" xfId="20" applyFont="1" applyBorder="1" applyAlignment="1" applyProtection="0">
      <x:alignment horizontal="general" vertical="top" wrapText="1" shrinkToFit="0"/>
      <x:protection locked="1" hidden="0"/>
    </x:xf>
    <x:xf numFmtId="164" fontId="14" fillId="0" borderId="1" xfId="20" applyFont="1" applyBorder="1" applyAlignment="1" applyProtection="0">
      <x:alignment horizontal="general" vertical="top" wrapText="1" shrinkToFit="0"/>
      <x:protection locked="1" hidden="0"/>
    </x:xf>
    <x:xf numFmtId="164" fontId="6" fillId="0" borderId="0" xfId="20" applyFont="1" applyBorder="1" applyAlignment="1" applyProtection="0">
      <x:alignment horizontal="general" vertical="top" wrapText="1" shrinkToFit="0"/>
      <x:protection locked="1" hidden="0"/>
    </x:xf>
    <x:xf numFmtId="164" fontId="10" fillId="5" borderId="6" xfId="20" applyFont="1" applyBorder="1" applyAlignment="1" applyProtection="0">
      <x:alignment horizontal="general" vertical="center" wrapText="1" shrinkToFit="0"/>
      <x:protection locked="1" hidden="0"/>
    </x:xf>
    <x:xf numFmtId="170" fontId="8" fillId="0" borderId="3" xfId="20" applyFont="1" applyBorder="1" applyAlignment="1" applyProtection="0">
      <x:alignment horizontal="general" vertical="center" wrapText="0" shrinkToFit="0"/>
      <x:protection locked="1" hidden="0"/>
    </x:xf>
    <x:xf numFmtId="169" fontId="8" fillId="0" borderId="3" xfId="20" applyFont="1" applyBorder="1" applyAlignment="1" applyProtection="0">
      <x:alignment horizontal="general" vertical="center" wrapText="0" shrinkToFit="0"/>
      <x:protection locked="1" hidden="0"/>
    </x:xf>
    <x:xf numFmtId="164" fontId="10" fillId="5" borderId="6" xfId="20" applyFont="1" applyBorder="1" applyAlignment="1" applyProtection="0">
      <x:alignment horizontal="general" vertical="center" wrapText="0" shrinkToFit="0"/>
      <x:protection locked="1" hidden="0"/>
    </x:xf>
    <x:xf numFmtId="168" fontId="8" fillId="0" borderId="3" xfId="20" applyFont="1" applyBorder="1" applyAlignment="1" applyProtection="0">
      <x:alignment horizontal="general" vertical="center" wrapText="0" shrinkToFit="0"/>
      <x:protection locked="1" hidden="0"/>
    </x:xf>
    <x:xf numFmtId="171" fontId="8" fillId="0" borderId="3" xfId="20" applyFont="1" applyBorder="1" applyAlignment="1" applyProtection="0">
      <x:alignment horizontal="general" vertical="center" wrapText="0" shrinkToFit="0"/>
      <x:protection locked="1" hidden="0"/>
    </x:xf>
    <x:xf numFmtId="172" fontId="8" fillId="0" borderId="3" xfId="20" applyFont="1" applyBorder="1" applyAlignment="1" applyProtection="0">
      <x:alignment horizontal="general" vertical="center" wrapText="0" shrinkToFit="0"/>
      <x:protection locked="1" hidden="0"/>
    </x:xf>
    <x:xf numFmtId="164" fontId="8" fillId="0" borderId="3" xfId="20" applyFont="1" applyBorder="1" applyAlignment="1" applyProtection="0">
      <x:alignment horizontal="general" vertical="center" wrapText="1" shrinkToFit="0"/>
      <x:protection locked="1" hidden="0"/>
    </x:xf>
    <x:xf numFmtId="164" fontId="0" fillId="0" borderId="0" xfId="0" applyFont="0" applyBorder="0" applyAlignment="0" applyProtection="0">
      <x:alignment horizontal="general" vertical="bottom" wrapText="0" shrinkToFit="0"/>
      <x:protection locked="1" hidden="0"/>
      <x:extLst>
        <x:ext uri="{C7286773-470A-42A8-94C5-96B5CB345126}">
          <xfpb:xfComplement xmlns:xfpb="http://schemas.microsoft.com/office/spreadsheetml/2022/featurepropertybag" i="0"/>
        </x:ext>
      </x:extLst>
    </x:xf>
    <x:xf numFmtId="164" fontId="0" fillId="9" borderId="0" xfId="0" applyNumberFormat="1" applyFont="1" applyFill="1" applyBorder="1" applyAlignment="1">
      <x:alignment horizontal="general" vertical="bottom" wrapText="0"/>
    </x:xf>
    <x:xf numFmtId="164" fontId="20" fillId="9" borderId="0" xfId="0" applyNumberFormat="1" applyFont="1" applyFill="1" applyBorder="1" applyAlignment="1">
      <x:alignment horizontal="general" vertical="bottom" wrapText="0"/>
    </x:xf>
    <x:xf numFmtId="164" fontId="20" fillId="9" borderId="7" xfId="0" applyNumberFormat="1" applyFont="1" applyFill="1" applyBorder="1" applyAlignment="1">
      <x:alignment horizontal="general" vertical="bottom" wrapText="0"/>
    </x:xf>
    <x:xf numFmtId="164" fontId="20" fillId="9" borderId="8" xfId="0" applyNumberFormat="1" applyFont="1" applyFill="1" applyBorder="1" applyAlignment="1">
      <x:alignment horizontal="general" vertical="bottom" wrapText="0"/>
    </x:xf>
    <x:xf numFmtId="164" fontId="20" fillId="9" borderId="9" xfId="0" applyNumberFormat="1" applyFont="1" applyFill="1" applyBorder="1" applyAlignment="1">
      <x:alignment horizontal="general" vertical="bottom" wrapText="0"/>
    </x:xf>
    <x:xf numFmtId="164" fontId="20" fillId="9" borderId="7" xfId="0" applyNumberFormat="1" applyFont="1" applyFill="1" applyBorder="1" applyAlignment="1">
      <x:alignment horizontal="general" vertical="bottom" wrapText="1"/>
    </x:xf>
    <x:xf numFmtId="164" fontId="20" fillId="9" borderId="8" xfId="0" applyNumberFormat="1" applyFont="1" applyFill="1" applyBorder="1" applyAlignment="1">
      <x:alignment horizontal="general" vertical="bottom" wrapText="1"/>
    </x:xf>
    <x:xf numFmtId="164" fontId="20" fillId="9" borderId="9" xfId="0" applyNumberFormat="1" applyFont="1" applyFill="1" applyBorder="1" applyAlignment="1">
      <x:alignment horizontal="general" vertical="bottom" wrapText="1"/>
    </x:xf>
    <x:xf numFmtId="164" fontId="20" fillId="9" borderId="7" xfId="0" applyNumberFormat="1" applyFont="1" applyFill="1" applyBorder="1" applyAlignment="1">
      <x:alignment horizontal="center" vertical="bottom" wrapText="1"/>
    </x:xf>
    <x:xf numFmtId="164" fontId="20" fillId="9" borderId="8" xfId="0" applyNumberFormat="1" applyFont="1" applyFill="1" applyBorder="1" applyAlignment="1">
      <x:alignment horizontal="center" vertical="bottom" wrapText="1"/>
    </x:xf>
    <x:xf numFmtId="164" fontId="20" fillId="9" borderId="9" xfId="0" applyNumberFormat="1" applyFont="1" applyFill="1" applyBorder="1" applyAlignment="1">
      <x:alignment horizontal="center" vertical="bottom" wrapText="1"/>
    </x:xf>
    <x:xf numFmtId="164" fontId="20" fillId="9" borderId="7" xfId="0" applyNumberFormat="1" applyFont="1" applyFill="1" applyBorder="1" applyAlignment="1">
      <x:alignment horizontal="center" vertical="center" wrapText="1"/>
    </x:xf>
    <x:xf numFmtId="164" fontId="20" fillId="9" borderId="8" xfId="0" applyNumberFormat="1" applyFont="1" applyFill="1" applyBorder="1" applyAlignment="1">
      <x:alignment horizontal="center" vertical="center" wrapText="1"/>
    </x:xf>
    <x:xf numFmtId="164" fontId="20" fillId="9" borderId="9" xfId="0" applyNumberFormat="1" applyFont="1" applyFill="1" applyBorder="1" applyAlignment="1">
      <x:alignment horizontal="center" vertical="center" wrapText="1"/>
    </x:xf>
    <x:xf numFmtId="164" fontId="21" fillId="0" borderId="0" xfId="0" applyNumberFormat="1" applyFont="1" applyFill="1" applyBorder="1" applyAlignment="1">
      <x:alignment horizontal="general" vertical="bottom" wrapText="0"/>
    </x:xf>
    <x:xf numFmtId="164" fontId="21" fillId="0"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1" fillId="0" borderId="10" xfId="0" applyNumberFormat="1" applyFont="1" applyFill="1" applyBorder="1" applyAlignment="1">
      <x:alignment horizontal="general" vertical="bottom" wrapText="0"/>
    </x:xf>
    <x:xf numFmtId="164" fontId="21" fillId="0" borderId="1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1" fillId="0" borderId="0" xfId="0" applyNumberFormat="1" applyFont="1" applyFill="1" applyBorder="1" applyAlignment="1">
      <x:alignment horizontal="general" vertical="center" wrapText="0"/>
    </x:xf>
    <x:xf numFmtId="164" fontId="21" fillId="0" borderId="0" xfId="0" applyNumberFormat="1" applyFont="1" applyFill="1" applyBorder="1" applyAlignment="1">
      <x:alignment horizontal="general" vertical="center" wrapText="0"/>
      <x:extLst>
        <x:ext uri="{C7286773-470A-42A8-94C5-96B5CB345126}">
          <xfpb:xfComplement xmlns:xfpb="http://schemas.microsoft.com/office/spreadsheetml/2022/featurepropertybag" i="0"/>
        </x:ext>
      </x:extLst>
    </x:xf>
    <x:xf numFmtId="164" fontId="21" fillId="0" borderId="10" xfId="0" applyNumberFormat="1" applyFont="1" applyFill="1" applyBorder="1" applyAlignment="1">
      <x:alignment horizontal="general" vertical="center" wrapText="0"/>
    </x:xf>
    <x:xf numFmtId="164" fontId="21" fillId="0" borderId="10" xfId="0" applyNumberFormat="1" applyFont="1" applyFill="1" applyBorder="1" applyAlignment="1">
      <x:alignment horizontal="general" vertical="center" wrapText="0"/>
      <x:extLst>
        <x:ext uri="{C7286773-470A-42A8-94C5-96B5CB345126}">
          <xfpb:xfComplement xmlns:xfpb="http://schemas.microsoft.com/office/spreadsheetml/2022/featurepropertybag" i="0"/>
        </x:ext>
      </x:extLst>
    </x:xf>
    <x:xf numFmtId="166" fontId="21" fillId="0" borderId="0" xfId="0" applyNumberFormat="1" applyFont="1" applyFill="1" applyBorder="1" applyAlignment="1">
      <x:alignment horizontal="general" vertical="center" wrapText="0"/>
    </x:xf>
    <x:xf numFmtId="166" fontId="21" fillId="0" borderId="10" xfId="0" applyNumberFormat="1" applyFont="1" applyFill="1" applyBorder="1" applyAlignment="1">
      <x:alignment horizontal="general" vertical="center" wrapText="0"/>
    </x:xf>
    <x:xf numFmtId="170" fontId="21" fillId="0" borderId="0" xfId="0" applyNumberFormat="1" applyFont="1" applyFill="1" applyBorder="1" applyAlignment="1">
      <x:alignment horizontal="general" vertical="center" wrapText="0"/>
    </x:xf>
    <x:xf numFmtId="170" fontId="21" fillId="0" borderId="10" xfId="0" applyNumberFormat="1" applyFont="1" applyFill="1" applyBorder="1" applyAlignment="1">
      <x:alignment horizontal="general" vertical="center" wrapText="0"/>
    </x:xf>
    <x:xf numFmtId="164" fontId="10" fillId="9" borderId="1" xfId="0" applyNumberFormat="1" applyFont="1" applyFill="1" applyBorder="1" applyAlignment="1">
      <x:alignment horizontal="general" vertical="top" wrapText="1"/>
    </x:xf>
    <x:xf numFmtId="164" fontId="10" fillId="9" borderId="11" xfId="0" applyNumberFormat="1" applyFont="1" applyFill="1" applyBorder="1" applyAlignment="1">
      <x:alignment horizontal="general" vertical="top" wrapText="1"/>
    </x:xf>
    <x:xf numFmtId="164" fontId="10" fillId="9" borderId="12" xfId="0" applyNumberFormat="1" applyFont="1" applyFill="1" applyBorder="1" applyAlignment="1">
      <x:alignment horizontal="general" vertical="top" wrapText="1"/>
    </x:xf>
    <x:xf numFmtId="164" fontId="10" fillId="9" borderId="11" xfId="0" applyNumberFormat="1" applyFont="1" applyFill="1" applyBorder="1" applyAlignment="1">
      <x:alignment horizontal="center" vertical="top" wrapText="1"/>
    </x:xf>
    <x:xf numFmtId="164" fontId="10" fillId="9" borderId="12" xfId="0" applyNumberFormat="1" applyFont="1" applyFill="1" applyBorder="1" applyAlignment="1">
      <x:alignment horizontal="center" vertical="top" wrapText="1"/>
    </x:xf>
    <x:xf numFmtId="164" fontId="10" fillId="9" borderId="11" xfId="0" applyNumberFormat="1" applyFont="1" applyFill="1" applyBorder="1" applyAlignment="1">
      <x:alignment horizontal="center" vertical="center" wrapText="1"/>
    </x:xf>
    <x:xf numFmtId="164" fontId="10" fillId="9" borderId="12" xfId="0" applyNumberFormat="1" applyFont="1" applyFill="1" applyBorder="1" applyAlignment="1">
      <x:alignment horizontal="center" vertical="center" wrapText="1"/>
    </x:xf>
    <x:xf numFmtId="164" fontId="10" fillId="9" borderId="13" xfId="0" applyNumberFormat="1" applyFont="1" applyFill="1" applyBorder="1" applyAlignment="1">
      <x:alignment horizontal="general" vertical="top" wrapText="1"/>
    </x:xf>
    <x:xf numFmtId="164" fontId="10" fillId="9" borderId="13" xfId="0" applyNumberFormat="1" applyFont="1" applyFill="1" applyBorder="1" applyAlignment="1">
      <x:alignment horizontal="center" vertical="top" wrapText="1"/>
    </x:xf>
    <x:xf numFmtId="164" fontId="10" fillId="9" borderId="13" xfId="0" applyNumberFormat="1" applyFont="1" applyFill="1" applyBorder="1" applyAlignment="1">
      <x:alignment horizontal="center" vertical="center" wrapText="1"/>
    </x:xf>
    <x:xf numFmtId="164" fontId="8" fillId="0" borderId="1" xfId="0" applyNumberFormat="1" applyFont="1" applyFill="1" applyBorder="1" applyAlignment="1">
      <x:alignment horizontal="general" vertical="top" wrapText="1"/>
    </x:xf>
    <x:xf numFmtId="169" fontId="8" fillId="0" borderId="1" xfId="0" applyNumberFormat="1" applyFont="1" applyFill="1" applyBorder="1" applyAlignment="1">
      <x:alignment horizontal="general" vertical="top" wrapText="1"/>
    </x:xf>
    <x:xf numFmtId="164" fontId="8" fillId="0" borderId="14" xfId="0" applyNumberFormat="1" applyFont="1" applyFill="1" applyBorder="1" applyAlignment="1">
      <x:alignment horizontal="general" vertical="top" wrapText="1"/>
    </x:xf>
    <x:xf numFmtId="169" fontId="8" fillId="0" borderId="14" xfId="0" applyNumberFormat="1" applyFont="1" applyFill="1" applyBorder="1" applyAlignment="1">
      <x:alignment horizontal="general" vertical="top" wrapText="1"/>
    </x:xf>
    <x:xf numFmtId="164" fontId="8" fillId="0" borderId="1" xfId="0" applyNumberFormat="1" applyFont="1" applyFill="1" applyBorder="1" applyAlignment="1">
      <x:alignment horizontal="general" vertical="center" wrapText="1"/>
    </x:xf>
    <x:xf numFmtId="169" fontId="8" fillId="0" borderId="1" xfId="0" applyNumberFormat="1" applyFont="1" applyFill="1" applyBorder="1" applyAlignment="1">
      <x:alignment horizontal="general" vertical="center" wrapText="1"/>
    </x:xf>
    <x:xf numFmtId="164" fontId="8" fillId="0" borderId="14" xfId="0" applyNumberFormat="1" applyFont="1" applyFill="1" applyBorder="1" applyAlignment="1">
      <x:alignment horizontal="general" vertical="center" wrapText="1"/>
    </x:xf>
    <x:xf numFmtId="169" fontId="8" fillId="0" borderId="14" xfId="0" applyNumberFormat="1" applyFont="1" applyFill="1" applyBorder="1" applyAlignment="1">
      <x:alignment horizontal="general" vertical="center" wrapText="1"/>
    </x:xf>
    <x:xf numFmtId="164" fontId="8" fillId="0" borderId="1" xfId="0" applyNumberFormat="1" applyFont="1" applyFill="1" applyBorder="1" applyAlignment="1">
      <x:alignment horizontal="general" vertical="bottom" wrapText="0"/>
    </x:xf>
    <x:xf numFmtId="164" fontId="8" fillId="0" borderId="0" xfId="0" applyNumberFormat="1" applyFont="1" applyFill="1" applyBorder="1" applyAlignment="1">
      <x:alignment horizontal="general" vertical="bottom" wrapText="0"/>
    </x:xf>
    <x:xf numFmtId="164" fontId="8" fillId="0" borderId="14" xfId="0" applyNumberFormat="1" applyFont="1" applyFill="1" applyBorder="1" applyAlignment="1">
      <x:alignment horizontal="general" vertical="bottom" wrapText="0"/>
    </x:xf>
    <x:xf numFmtId="164" fontId="8" fillId="0" borderId="10" xfId="0" applyNumberFormat="1" applyFont="1" applyFill="1" applyBorder="1" applyAlignment="1">
      <x:alignment horizontal="general" vertical="bottom" wrapText="0"/>
    </x:xf>
    <x:xf numFmtId="164" fontId="8" fillId="0" borderId="1" xfId="0" applyNumberFormat="1" applyFont="1" applyFill="1" applyBorder="1" applyAlignment="1">
      <x:alignment horizontal="general" vertical="center" wrapText="0"/>
    </x:xf>
    <x:xf numFmtId="164" fontId="8" fillId="0" borderId="0" xfId="0" applyNumberFormat="1" applyFont="1" applyFill="1" applyBorder="1" applyAlignment="1">
      <x:alignment horizontal="general" vertical="center" wrapText="0"/>
    </x:xf>
    <x:xf numFmtId="164" fontId="8" fillId="0" borderId="14" xfId="0" applyNumberFormat="1" applyFont="1" applyFill="1" applyBorder="1" applyAlignment="1">
      <x:alignment horizontal="general" vertical="center" wrapText="0"/>
    </x:xf>
    <x:xf numFmtId="164" fontId="8" fillId="0" borderId="10" xfId="0" applyNumberFormat="1" applyFont="1" applyFill="1" applyBorder="1" applyAlignment="1">
      <x:alignment horizontal="general" vertical="center" wrapText="0"/>
    </x:xf>
    <x:xf numFmtId="164" fontId="7" fillId="10" borderId="0" xfId="0" applyNumberFormat="1" applyFont="1" applyFill="1" applyBorder="1" applyAlignment="1">
      <x:alignment horizontal="general" vertical="bottom" wrapText="0"/>
    </x:xf>
    <x:xf numFmtId="164" fontId="0" fillId="10" borderId="0" xfId="0" applyNumberFormat="1" applyFont="1" applyFill="1" applyBorder="1" applyAlignment="1">
      <x:alignment horizontal="general" vertical="bottom" wrapText="0"/>
    </x:xf>
    <x:xf numFmtId="164" fontId="9" fillId="10" borderId="0" xfId="0" applyNumberFormat="1" applyFont="1" applyFill="1" applyBorder="1" applyAlignment="1">
      <x:alignment horizontal="general" vertical="bottom" wrapText="0"/>
    </x:xf>
    <x:xf numFmtId="164" fontId="22" fillId="10" borderId="0" xfId="0" applyNumberFormat="1" applyFont="1" applyFill="1" applyBorder="1" applyAlignment="1">
      <x:alignment horizontal="general" vertical="bottom" wrapText="0"/>
    </x:xf>
    <x:xf numFmtId="164" fontId="9" fillId="10" borderId="15" xfId="0" applyNumberFormat="1" applyFont="1" applyFill="1" applyBorder="1" applyAlignment="1">
      <x:alignment horizontal="general" vertical="bottom" wrapText="0"/>
    </x:xf>
    <x:xf numFmtId="164" fontId="9" fillId="10" borderId="16" xfId="0" applyNumberFormat="1" applyFont="1" applyFill="1" applyBorder="1" applyAlignment="1">
      <x:alignment horizontal="general" vertical="bottom" wrapText="0"/>
    </x:xf>
    <x:xf numFmtId="164" fontId="22" fillId="10" borderId="16" xfId="0" applyNumberFormat="1" applyFont="1" applyFill="1" applyBorder="1" applyAlignment="1">
      <x:alignment horizontal="general" vertical="bottom" wrapText="0"/>
    </x:xf>
    <x:xf numFmtId="164" fontId="22" fillId="10" borderId="17" xfId="0" applyNumberFormat="1" applyFont="1" applyFill="1" applyBorder="1" applyAlignment="1">
      <x:alignment horizontal="general" vertical="bottom" wrapText="0"/>
    </x:xf>
    <x:xf numFmtId="165" fontId="8" fillId="0" borderId="1" xfId="0" applyNumberFormat="1" applyFont="1" applyFill="1" applyBorder="1" applyAlignment="1">
      <x:alignment horizontal="general" vertical="center" wrapText="1"/>
    </x:xf>
    <x:xf numFmtId="165" fontId="8" fillId="0" borderId="14" xfId="0" applyNumberFormat="1" applyFont="1" applyFill="1" applyBorder="1" applyAlignment="1">
      <x:alignment horizontal="general" vertical="center" wrapText="1"/>
    </x:xf>
    <x:xf numFmtId="169" fontId="21" fillId="0" borderId="0" xfId="0" applyNumberFormat="1" applyFont="1" applyFill="1" applyBorder="1" applyAlignment="1">
      <x:alignment horizontal="general" vertical="center" wrapText="0"/>
    </x:xf>
    <x:xf numFmtId="169" fontId="21" fillId="0" borderId="10" xfId="0" applyNumberFormat="1" applyFont="1" applyFill="1" applyBorder="1" applyAlignment="1">
      <x:alignment horizontal="general" vertical="center" wrapText="0"/>
    </x:xf>
    <x:xf numFmtId="164" fontId="10" fillId="11" borderId="1" xfId="0" applyNumberFormat="1" applyFont="1" applyFill="1" applyBorder="1" applyAlignment="1">
      <x:alignment horizontal="general" vertical="top" wrapText="1"/>
    </x:xf>
    <x:xf numFmtId="164" fontId="0" fillId="11" borderId="0" xfId="0" applyNumberFormat="1" applyFont="1" applyFill="1" applyBorder="1" applyAlignment="1">
      <x:alignment horizontal="general" vertical="bottom" wrapText="0"/>
    </x:xf>
    <x:xf numFmtId="164" fontId="4" fillId="11" borderId="0" xfId="0" applyNumberFormat="1" applyFont="1" applyFill="1" applyBorder="1" applyAlignment="1">
      <x:alignment horizontal="general" vertical="bottom" wrapText="0"/>
    </x:xf>
    <x:xf numFmtId="164" fontId="8" fillId="0" borderId="0"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bottom" wrapText="1"/>
    </x:xf>
    <x:xf numFmtId="166" fontId="8" fillId="0" borderId="3" xfId="0" applyNumberFormat="1" applyFont="1" applyFill="1" applyBorder="1" applyAlignment="1">
      <x:alignment horizontal="general" vertical="center" wrapText="0"/>
    </x:xf>
    <x:xf numFmtId="169" fontId="4" fillId="0" borderId="0" xfId="0" applyNumberFormat="1" applyFont="1" applyFill="1" applyBorder="1" applyAlignment="1">
      <x:alignment horizontal="general" vertical="bottom" wrapText="0"/>
    </x:xf>
    <x:xf numFmtId="164" fontId="12" fillId="6" borderId="4" xfId="0" applyNumberFormat="1" applyFont="1" applyFill="1" applyBorder="1" applyAlignment="1">
      <x:alignment horizontal="general" vertical="center" wrapText="1"/>
    </x:xf>
    <x:xf numFmtId="164" fontId="13" fillId="7" borderId="5" xfId="0" applyNumberFormat="1" applyFont="1" applyFill="1" applyBorder="1" applyAlignment="1">
      <x:alignment horizontal="general" vertical="center" wrapText="1"/>
    </x:xf>
    <x:xf numFmtId="164" fontId="10" fillId="9" borderId="6" xfId="0" applyNumberFormat="1" applyFont="1" applyFill="1" applyBorder="1" applyAlignment="1">
      <x:alignment horizontal="general" vertical="center" wrapText="1"/>
    </x:xf>
    <x:xf numFmtId="164" fontId="10" fillId="9" borderId="6" xfId="0" applyNumberFormat="1" applyFont="1" applyFill="1" applyBorder="1" applyAlignment="1">
      <x:alignment horizontal="center" vertical="center" wrapText="1"/>
    </x:xf>
    <x:xf numFmtId="164" fontId="8" fillId="0" borderId="3" xfId="0" applyNumberFormat="1" applyFont="1" applyFill="1" applyBorder="1" applyAlignment="1">
      <x:alignment horizontal="general" vertical="center" wrapText="0"/>
    </x:xf>
    <x:xf numFmtId="169" fontId="8" fillId="0" borderId="3" xfId="0" applyNumberFormat="1" applyFont="1" applyFill="1" applyBorder="1" applyAlignment="1">
      <x:alignment horizontal="general" vertical="center" wrapText="0"/>
    </x:xf>
    <x:xf numFmtId="164" fontId="8" fillId="0" borderId="18" xfId="0" applyNumberFormat="1" applyFont="1" applyFill="1" applyBorder="1" applyAlignment="1">
      <x:alignment horizontal="general" vertical="center" wrapText="0"/>
    </x:xf>
    <x:xf numFmtId="169" fontId="8" fillId="0" borderId="18" xfId="0" applyNumberFormat="1" applyFont="1" applyFill="1" applyBorder="1" applyAlignment="1">
      <x:alignment horizontal="general" vertical="center" wrapText="0"/>
    </x:xf>
    <x:xf numFmtId="164" fontId="9" fillId="0" borderId="1" xfId="0" applyNumberFormat="1" applyFont="1" applyFill="1" applyBorder="1" applyAlignment="1">
      <x:alignment horizontal="general" vertical="top" wrapText="1"/>
    </x:xf>
    <x:xf numFmtId="164" fontId="23" fillId="0" borderId="1" xfId="0" applyNumberFormat="1" applyFont="1" applyFill="1" applyBorder="1" applyAlignment="1">
      <x:alignment horizontal="general" vertical="top" wrapText="1"/>
    </x:xf>
    <x:xf numFmtId="164" fontId="8" fillId="0" borderId="10" xfId="0" applyNumberFormat="1" applyFont="1" applyFill="1" applyBorder="1" applyAlignment="1">
      <x:alignment horizontal="general" vertical="center" wrapText="1"/>
    </x:xf>
    <x:xf numFmtId="164" fontId="21" fillId="0" borderId="0" xfId="0" applyNumberFormat="1" applyFont="1" applyFill="1" applyBorder="1" applyAlignment="1">
      <x:alignment horizontal="general" vertical="center" wrapText="1"/>
    </x:xf>
    <x:xf numFmtId="164" fontId="8" fillId="0" borderId="0" xfId="0" applyNumberFormat="1" applyFont="1" applyFill="1" applyBorder="1" applyAlignment="1">
      <x:alignment horizontal="general" vertical="center" wrapText="1"/>
    </x:xf>
    <x:xf numFmtId="171" fontId="8" fillId="0" borderId="3" xfId="0" applyNumberFormat="1" applyFont="1" applyFill="1" applyBorder="1" applyAlignment="1">
      <x:alignment horizontal="general" vertical="center" wrapText="0"/>
    </x:xf>
    <x:xf numFmtId="172" fontId="8" fillId="0" borderId="3" xfId="0" applyNumberFormat="1" applyFont="1" applyFill="1" applyBorder="1" applyAlignment="1">
      <x:alignment horizontal="general" vertical="center" wrapText="0"/>
    </x:xf>
    <x:xf numFmtId="164" fontId="8" fillId="12" borderId="1" xfId="0" applyNumberFormat="1" applyFont="1" applyFill="1" applyBorder="1" applyAlignment="1">
      <x:alignment horizontal="general" vertical="center" wrapText="1"/>
    </x:xf>
    <x:xf numFmtId="164" fontId="24" fillId="12" borderId="1" xfId="0" applyNumberFormat="1" applyFont="1" applyFill="1" applyBorder="1" applyAlignment="1">
      <x:alignment horizontal="general" vertical="center" wrapText="1"/>
    </x:xf>
    <x:xf numFmtId="164" fontId="25" fillId="0" borderId="0" xfId="0" applyNumberFormat="1" applyFont="1" applyFill="1" applyBorder="1" applyAlignment="1">
      <x:alignment horizontal="general" vertical="bottom" wrapText="0"/>
    </x:xf>
    <x:xf numFmtId="164" fontId="25" fillId="0" borderId="0" xfId="0" applyNumberFormat="1" applyFont="1" applyFill="1" applyBorder="1" applyAlignment="1">
      <x:alignment horizontal="general" vertical="bottom" wrapText="1"/>
    </x:xf>
    <x:xf numFmtId="164" fontId="25" fillId="0" borderId="0" xfId="0" applyNumberFormat="1" applyFont="1" applyFill="1" applyBorder="1" applyAlignment="1">
      <x:alignment horizontal="general" vertical="center" wrapText="1"/>
    </x:xf>
    <x:xf numFmtId="164" fontId="14" fillId="0" borderId="1" xfId="0" applyNumberFormat="1" applyFont="1" applyFill="1" applyBorder="1" applyAlignment="1">
      <x:alignment horizontal="general" vertical="top" wrapText="1"/>
    </x:xf>
    <x:xf numFmtId="164" fontId="26" fillId="0" borderId="1" xfId="0" applyNumberFormat="1" applyFont="1" applyFill="1" applyBorder="1" applyAlignment="1">
      <x:alignment horizontal="general" vertical="top" wrapText="1"/>
    </x:xf>
    <x:xf numFmtId="164" fontId="8" fillId="0" borderId="3" xfId="0" applyNumberFormat="1" applyFont="1" applyFill="1" applyBorder="1" applyAlignment="1">
      <x:alignment horizontal="general" vertical="center" wrapText="1"/>
    </x:xf>
  </x:cellXfs>
  <x:cellStyles count="7">
    <x:cellStyle name="Normal" xfId="0"/>
    <x:cellStyle name="Comma" xfId="15"/>
    <x:cellStyle name="Comma [0]" xfId="16"/>
    <x:cellStyle name="Currency" xfId="17"/>
    <x:cellStyle name="Currency [0]" xfId="18"/>
    <x:cellStyle name="Percent" xfId="19"/>
    <x:cellStyle name="Normal" xfId="20"/>
  </x:cellStyles>
  <x:dxfs count="126">
    <x:dxf>
      <x:fill>
        <x:patternFill>
          <x:bgColor rgb="FF2F75B5"/>
        </x:patternFill>
      </x:fill>
    </x:dxf>
    <x:dxf>
      <x:fill>
        <x:patternFill>
          <x:bgColor rgb="FF000000"/>
        </x:patternFill>
      </x:fill>
    </x:dxf>
    <x:dxf>
      <x:fill>
        <x:patternFill>
          <x:bgColor rgb="FF222222"/>
        </x:patternFill>
      </x:fill>
    </x:dxf>
    <x:dxf>
      <x:fill>
        <x:patternFill>
          <x:bgColor rgb="FFFFFFFF"/>
        </x:patternFill>
      </x:fill>
    </x:dxf>
    <x:dxf>
      <x:fill>
        <x:patternFill>
          <x:bgColor rgb="FF63BE7B"/>
        </x:patternFill>
      </x:fill>
    </x:dxf>
    <x:dxf>
      <x:fill>
        <x:patternFill>
          <x:bgColor rgb="FF6EC17B"/>
        </x:patternFill>
      </x:fill>
    </x:dxf>
    <x:dxf>
      <x:fill>
        <x:patternFill>
          <x:bgColor rgb="FF7AC47C"/>
        </x:patternFill>
      </x:fill>
    </x:dxf>
    <x:dxf>
      <x:fill>
        <x:patternFill>
          <x:bgColor rgb="FF7EC57C"/>
        </x:patternFill>
      </x:fill>
    </x:dxf>
    <x:dxf>
      <x:fill>
        <x:patternFill>
          <x:bgColor rgb="FF81C67C"/>
        </x:patternFill>
      </x:fill>
    </x:dxf>
    <x:dxf>
      <x:fill>
        <x:patternFill>
          <x:bgColor rgb="FF88C87D"/>
        </x:patternFill>
      </x:fill>
    </x:dxf>
    <x:dxf>
      <x:fill>
        <x:patternFill>
          <x:bgColor rgb="FF8ECA7D"/>
        </x:patternFill>
      </x:fill>
    </x:dxf>
    <x:dxf>
      <x:fill>
        <x:patternFill>
          <x:bgColor rgb="FF91CB7D"/>
        </x:patternFill>
      </x:fill>
    </x:dxf>
    <x:dxf>
      <x:fill>
        <x:patternFill>
          <x:bgColor rgb="FF96CC7D"/>
        </x:patternFill>
      </x:fill>
    </x:dxf>
    <x:dxf>
      <x:fill>
        <x:patternFill>
          <x:bgColor rgb="FF9CCE7E"/>
        </x:patternFill>
      </x:fill>
    </x:dxf>
    <x:dxf>
      <x:fill>
        <x:patternFill>
          <x:bgColor rgb="FF9DCE7E"/>
        </x:patternFill>
      </x:fill>
    </x:dxf>
    <x:dxf>
      <x:fill>
        <x:patternFill>
          <x:bgColor rgb="FF9ECF7E"/>
        </x:patternFill>
      </x:fill>
    </x:dxf>
    <x:dxf>
      <x:fill>
        <x:patternFill>
          <x:bgColor rgb="FFA1CF7E"/>
        </x:patternFill>
      </x:fill>
    </x:dxf>
    <x:dxf>
      <x:fill>
        <x:patternFill>
          <x:bgColor rgb="FFA3D07E"/>
        </x:patternFill>
      </x:fill>
    </x:dxf>
    <x:dxf>
      <x:fill>
        <x:patternFill>
          <x:bgColor rgb="FFA6D17E"/>
        </x:patternFill>
      </x:fill>
    </x:dxf>
    <x:dxf>
      <x:fill>
        <x:patternFill>
          <x:bgColor rgb="FFA7D17E"/>
        </x:patternFill>
      </x:fill>
    </x:dxf>
    <x:dxf>
      <x:fill>
        <x:patternFill>
          <x:bgColor rgb="FFAAD27F"/>
        </x:patternFill>
      </x:fill>
    </x:dxf>
    <x:dxf>
      <x:fill>
        <x:patternFill>
          <x:bgColor rgb="FFAED37F"/>
        </x:patternFill>
      </x:fill>
    </x:dxf>
    <x:dxf>
      <x:fill>
        <x:patternFill>
          <x:bgColor rgb="FFB6D67F"/>
        </x:patternFill>
      </x:fill>
    </x:dxf>
    <x:dxf>
      <x:fill>
        <x:patternFill>
          <x:bgColor rgb="FFBAD780"/>
        </x:patternFill>
      </x:fill>
    </x:dxf>
    <x:dxf>
      <x:fill>
        <x:patternFill>
          <x:bgColor rgb="FFBCD780"/>
        </x:patternFill>
      </x:fill>
    </x:dxf>
    <x:dxf>
      <x:fill>
        <x:patternFill>
          <x:bgColor rgb="FFBDD880"/>
        </x:patternFill>
      </x:fill>
    </x:dxf>
    <x:dxf>
      <x:fill>
        <x:patternFill>
          <x:bgColor rgb="FFC2D980"/>
        </x:patternFill>
      </x:fill>
    </x:dxf>
    <x:dxf>
      <x:fill>
        <x:patternFill>
          <x:bgColor rgb="FFC7DA80"/>
        </x:patternFill>
      </x:fill>
    </x:dxf>
    <x:dxf>
      <x:fill>
        <x:patternFill>
          <x:bgColor rgb="FFC8DB80"/>
        </x:patternFill>
      </x:fill>
    </x:dxf>
    <x:dxf>
      <x:fill>
        <x:patternFill>
          <x:bgColor rgb="FFC9DB80"/>
        </x:patternFill>
      </x:fill>
    </x:dxf>
    <x:dxf>
      <x:fill>
        <x:patternFill>
          <x:bgColor rgb="FFCADB80"/>
        </x:patternFill>
      </x:fill>
    </x:dxf>
    <x:dxf>
      <x:fill>
        <x:patternFill>
          <x:bgColor rgb="FFCCDC81"/>
        </x:patternFill>
      </x:fill>
    </x:dxf>
    <x:dxf>
      <x:fill>
        <x:patternFill>
          <x:bgColor rgb="FFCDDC81"/>
        </x:patternFill>
      </x:fill>
    </x:dxf>
    <x:dxf>
      <x:fill>
        <x:patternFill>
          <x:bgColor rgb="FFCFDD81"/>
        </x:patternFill>
      </x:fill>
    </x:dxf>
    <x:dxf>
      <x:fill>
        <x:patternFill>
          <x:bgColor rgb="FFD0DD81"/>
        </x:patternFill>
      </x:fill>
    </x:dxf>
    <x:dxf>
      <x:fill>
        <x:patternFill>
          <x:bgColor rgb="FFD3DE81"/>
        </x:patternFill>
      </x:fill>
    </x:dxf>
    <x:dxf>
      <x:fill>
        <x:patternFill>
          <x:bgColor rgb="FFD5DF81"/>
        </x:patternFill>
      </x:fill>
    </x:dxf>
    <x:dxf>
      <x:fill>
        <x:patternFill>
          <x:bgColor rgb="FFD6DF81"/>
        </x:patternFill>
      </x:fill>
    </x:dxf>
    <x:dxf>
      <x:fill>
        <x:patternFill>
          <x:bgColor rgb="FFD7DF81"/>
        </x:patternFill>
      </x:fill>
    </x:dxf>
    <x:dxf>
      <x:fill>
        <x:patternFill>
          <x:bgColor rgb="FFD9E081"/>
        </x:patternFill>
      </x:fill>
    </x:dxf>
    <x:dxf>
      <x:fill>
        <x:patternFill>
          <x:bgColor rgb="FFDCE182"/>
        </x:patternFill>
      </x:fill>
    </x:dxf>
    <x:dxf>
      <x:fill>
        <x:patternFill>
          <x:bgColor rgb="FFDEE182"/>
        </x:patternFill>
      </x:fill>
    </x:dxf>
    <x:dxf>
      <x:fill>
        <x:patternFill>
          <x:bgColor rgb="FFE0E282"/>
        </x:patternFill>
      </x:fill>
    </x:dxf>
    <x:dxf>
      <x:fill>
        <x:patternFill>
          <x:bgColor rgb="FFE1E282"/>
        </x:patternFill>
      </x:fill>
    </x:dxf>
    <x:dxf>
      <x:fill>
        <x:patternFill>
          <x:bgColor rgb="FFE2E282"/>
        </x:patternFill>
      </x:fill>
    </x:dxf>
    <x:dxf>
      <x:fill>
        <x:patternFill>
          <x:bgColor rgb="FFE8E482"/>
        </x:patternFill>
      </x:fill>
    </x:dxf>
    <x:dxf>
      <x:fill>
        <x:patternFill>
          <x:bgColor rgb="FFE9E482"/>
        </x:patternFill>
      </x:fill>
    </x:dxf>
    <x:dxf>
      <x:fill>
        <x:patternFill>
          <x:bgColor rgb="FFEAE582"/>
        </x:patternFill>
      </x:fill>
    </x:dxf>
    <x:dxf>
      <x:fill>
        <x:patternFill>
          <x:bgColor rgb="FFEBE582"/>
        </x:patternFill>
      </x:fill>
    </x:dxf>
    <x:dxf>
      <x:fill>
        <x:patternFill>
          <x:bgColor rgb="FFECE582"/>
        </x:patternFill>
      </x:fill>
    </x:dxf>
    <x:dxf>
      <x:fill>
        <x:patternFill>
          <x:bgColor rgb="FFEDE582"/>
        </x:patternFill>
      </x:fill>
    </x:dxf>
    <x:dxf>
      <x:fill>
        <x:patternFill>
          <x:bgColor rgb="FFEEE683"/>
        </x:patternFill>
      </x:fill>
    </x:dxf>
    <x:dxf>
      <x:fill>
        <x:patternFill>
          <x:bgColor rgb="FFEFE683"/>
        </x:patternFill>
      </x:fill>
    </x:dxf>
    <x:dxf>
      <x:fill>
        <x:patternFill>
          <x:bgColor rgb="FFF0E683"/>
        </x:patternFill>
      </x:fill>
    </x:dxf>
    <x:dxf>
      <x:fill>
        <x:patternFill>
          <x:bgColor rgb="FFF1E783"/>
        </x:patternFill>
      </x:fill>
    </x:dxf>
    <x:dxf>
      <x:fill>
        <x:patternFill>
          <x:bgColor rgb="FFF2E783"/>
        </x:patternFill>
      </x:fill>
    </x:dxf>
    <x:dxf>
      <x:fill>
        <x:patternFill>
          <x:bgColor rgb="FFF3E783"/>
        </x:patternFill>
      </x:fill>
    </x:dxf>
    <x:dxf>
      <x:fill>
        <x:patternFill>
          <x:bgColor rgb="FFF4E783"/>
        </x:patternFill>
      </x:fill>
    </x:dxf>
    <x:dxf>
      <x:fill>
        <x:patternFill>
          <x:bgColor rgb="FFF7E883"/>
        </x:patternFill>
      </x:fill>
    </x:dxf>
    <x:dxf>
      <x:fill>
        <x:patternFill>
          <x:bgColor rgb="FFF8696B"/>
        </x:patternFill>
      </x:fill>
    </x:dxf>
    <x:dxf>
      <x:fill>
        <x:patternFill>
          <x:bgColor rgb="FFF96E6C"/>
        </x:patternFill>
      </x:fill>
    </x:dxf>
    <x:dxf>
      <x:fill>
        <x:patternFill>
          <x:bgColor rgb="FFF9736D"/>
        </x:patternFill>
      </x:fill>
    </x:dxf>
    <x:dxf>
      <x:fill>
        <x:patternFill>
          <x:bgColor rgb="FFF9776E"/>
        </x:patternFill>
      </x:fill>
    </x:dxf>
    <x:dxf>
      <x:fill>
        <x:patternFill>
          <x:bgColor rgb="FFFA7D6F"/>
        </x:patternFill>
      </x:fill>
    </x:dxf>
    <x:dxf>
      <x:fill>
        <x:patternFill>
          <x:bgColor rgb="FFFA7E6F"/>
        </x:patternFill>
      </x:fill>
    </x:dxf>
    <x:dxf>
      <x:fill>
        <x:patternFill>
          <x:bgColor rgb="FFFA8571"/>
        </x:patternFill>
      </x:fill>
    </x:dxf>
    <x:dxf>
      <x:fill>
        <x:patternFill>
          <x:bgColor rgb="FFFA8972"/>
        </x:patternFill>
      </x:fill>
    </x:dxf>
    <x:dxf>
      <x:fill>
        <x:patternFill>
          <x:bgColor rgb="FFFA8A72"/>
        </x:patternFill>
      </x:fill>
    </x:dxf>
    <x:dxf>
      <x:fill>
        <x:patternFill>
          <x:bgColor rgb="FFFA8D72"/>
        </x:patternFill>
      </x:fill>
    </x:dxf>
    <x:dxf>
      <x:fill>
        <x:patternFill>
          <x:bgColor rgb="FFFAE983"/>
        </x:patternFill>
      </x:fill>
    </x:dxf>
    <x:dxf>
      <x:fill>
        <x:patternFill>
          <x:bgColor rgb="FFFB9073"/>
        </x:patternFill>
      </x:fill>
    </x:dxf>
    <x:dxf>
      <x:fill>
        <x:patternFill>
          <x:bgColor rgb="FFFB9173"/>
        </x:patternFill>
      </x:fill>
    </x:dxf>
    <x:dxf>
      <x:fill>
        <x:patternFill>
          <x:bgColor rgb="FFFB9374"/>
        </x:patternFill>
      </x:fill>
    </x:dxf>
    <x:dxf>
      <x:fill>
        <x:patternFill>
          <x:bgColor rgb="FFFB9A75"/>
        </x:patternFill>
      </x:fill>
    </x:dxf>
    <x:dxf>
      <x:fill>
        <x:patternFill>
          <x:bgColor rgb="FFFB9E76"/>
        </x:patternFill>
      </x:fill>
    </x:dxf>
    <x:dxf>
      <x:fill>
        <x:patternFill>
          <x:bgColor rgb="FFFB9F76"/>
        </x:patternFill>
      </x:fill>
    </x:dxf>
    <x:dxf>
      <x:fill>
        <x:patternFill>
          <x:bgColor rgb="FFFBE983"/>
        </x:patternFill>
      </x:fill>
    </x:dxf>
    <x:dxf>
      <x:fill>
        <x:patternFill>
          <x:bgColor rgb="FFFCA377"/>
        </x:patternFill>
      </x:fill>
    </x:dxf>
    <x:dxf>
      <x:fill>
        <x:patternFill>
          <x:bgColor rgb="FFFCA477"/>
        </x:patternFill>
      </x:fill>
    </x:dxf>
    <x:dxf>
      <x:fill>
        <x:patternFill>
          <x:bgColor rgb="FFFCA677"/>
        </x:patternFill>
      </x:fill>
    </x:dxf>
    <x:dxf>
      <x:fill>
        <x:patternFill>
          <x:bgColor rgb="FFFCA777"/>
        </x:patternFill>
      </x:fill>
    </x:dxf>
    <x:dxf>
      <x:fill>
        <x:patternFill>
          <x:bgColor rgb="FFFCAA78"/>
        </x:patternFill>
      </x:fill>
    </x:dxf>
    <x:dxf>
      <x:fill>
        <x:patternFill>
          <x:bgColor rgb="FFFCAC78"/>
        </x:patternFill>
      </x:fill>
    </x:dxf>
    <x:dxf>
      <x:fill>
        <x:patternFill>
          <x:bgColor rgb="FFFCAD78"/>
        </x:patternFill>
      </x:fill>
    </x:dxf>
    <x:dxf>
      <x:fill>
        <x:patternFill>
          <x:bgColor rgb="FFFCAD79"/>
        </x:patternFill>
      </x:fill>
    </x:dxf>
    <x:dxf>
      <x:fill>
        <x:patternFill>
          <x:bgColor rgb="FFFCAE79"/>
        </x:patternFill>
      </x:fill>
    </x:dxf>
    <x:dxf>
      <x:fill>
        <x:patternFill>
          <x:bgColor rgb="FFFCB279"/>
        </x:patternFill>
      </x:fill>
    </x:dxf>
    <x:dxf>
      <x:fill>
        <x:patternFill>
          <x:bgColor rgb="FFFCB37A"/>
        </x:patternFill>
      </x:fill>
    </x:dxf>
    <x:dxf>
      <x:fill>
        <x:patternFill>
          <x:bgColor rgb="FFFDB57A"/>
        </x:patternFill>
      </x:fill>
    </x:dxf>
    <x:dxf>
      <x:fill>
        <x:patternFill>
          <x:bgColor rgb="FFFDB67A"/>
        </x:patternFill>
      </x:fill>
    </x:dxf>
    <x:dxf>
      <x:fill>
        <x:patternFill>
          <x:bgColor rgb="FFFDB77A"/>
        </x:patternFill>
      </x:fill>
    </x:dxf>
    <x:dxf>
      <x:fill>
        <x:patternFill>
          <x:bgColor rgb="FFFDBA7B"/>
        </x:patternFill>
      </x:fill>
    </x:dxf>
    <x:dxf>
      <x:fill>
        <x:patternFill>
          <x:bgColor rgb="FFFDBB7B"/>
        </x:patternFill>
      </x:fill>
    </x:dxf>
    <x:dxf>
      <x:fill>
        <x:patternFill>
          <x:bgColor rgb="FFFDBC7B"/>
        </x:patternFill>
      </x:fill>
    </x:dxf>
    <x:dxf>
      <x:fill>
        <x:patternFill>
          <x:bgColor rgb="FFFDBE7C"/>
        </x:patternFill>
      </x:fill>
    </x:dxf>
    <x:dxf>
      <x:fill>
        <x:patternFill>
          <x:bgColor rgb="FFFDBF7C"/>
        </x:patternFill>
      </x:fill>
    </x:dxf>
    <x:dxf>
      <x:fill>
        <x:patternFill>
          <x:bgColor rgb="FFFDC27D"/>
        </x:patternFill>
      </x:fill>
    </x:dxf>
    <x:dxf>
      <x:fill>
        <x:patternFill>
          <x:bgColor rgb="FFFDC37D"/>
        </x:patternFill>
      </x:fill>
    </x:dxf>
    <x:dxf>
      <x:fill>
        <x:patternFill>
          <x:bgColor rgb="FFFDC57D"/>
        </x:patternFill>
      </x:fill>
    </x:dxf>
    <x:dxf>
      <x:fill>
        <x:patternFill>
          <x:bgColor rgb="FFFDC67D"/>
        </x:patternFill>
      </x:fill>
    </x:dxf>
    <x:dxf>
      <x:fill>
        <x:patternFill>
          <x:bgColor rgb="FFFDEA83"/>
        </x:patternFill>
      </x:fill>
    </x:dxf>
    <x:dxf>
      <x:fill>
        <x:patternFill>
          <x:bgColor rgb="FFFEC77D"/>
        </x:patternFill>
      </x:fill>
    </x:dxf>
    <x:dxf>
      <x:fill>
        <x:patternFill>
          <x:bgColor rgb="FFFEC77E"/>
        </x:patternFill>
      </x:fill>
    </x:dxf>
    <x:dxf>
      <x:fill>
        <x:patternFill>
          <x:bgColor rgb="FFFEC87E"/>
        </x:patternFill>
      </x:fill>
    </x:dxf>
    <x:dxf>
      <x:fill>
        <x:patternFill>
          <x:bgColor rgb="FFFEC97E"/>
        </x:patternFill>
      </x:fill>
    </x:dxf>
    <x:dxf>
      <x:fill>
        <x:patternFill>
          <x:bgColor rgb="FFFECA7E"/>
        </x:patternFill>
      </x:fill>
    </x:dxf>
    <x:dxf>
      <x:fill>
        <x:patternFill>
          <x:bgColor rgb="FFFECE7F"/>
        </x:patternFill>
      </x:fill>
    </x:dxf>
    <x:dxf>
      <x:fill>
        <x:patternFill>
          <x:bgColor rgb="FFFECF7F"/>
        </x:patternFill>
      </x:fill>
    </x:dxf>
    <x:dxf>
      <x:fill>
        <x:patternFill>
          <x:bgColor rgb="FFFED17F"/>
        </x:patternFill>
      </x:fill>
    </x:dxf>
    <x:dxf>
      <x:fill>
        <x:patternFill>
          <x:bgColor rgb="FFFED280"/>
        </x:patternFill>
      </x:fill>
    </x:dxf>
    <x:dxf>
      <x:fill>
        <x:patternFill>
          <x:bgColor rgb="FFFED380"/>
        </x:patternFill>
      </x:fill>
    </x:dxf>
    <x:dxf>
      <x:fill>
        <x:patternFill>
          <x:bgColor rgb="FFFED580"/>
        </x:patternFill>
      </x:fill>
    </x:dxf>
    <x:dxf>
      <x:fill>
        <x:patternFill>
          <x:bgColor rgb="FFFED680"/>
        </x:patternFill>
      </x:fill>
    </x:dxf>
    <x:dxf>
      <x:fill>
        <x:patternFill>
          <x:bgColor rgb="FFFED781"/>
        </x:patternFill>
      </x:fill>
    </x:dxf>
    <x:dxf>
      <x:fill>
        <x:patternFill>
          <x:bgColor rgb="FFFFDB81"/>
        </x:patternFill>
      </x:fill>
    </x:dxf>
    <x:dxf>
      <x:fill>
        <x:patternFill>
          <x:bgColor rgb="FFFFDC81"/>
        </x:patternFill>
      </x:fill>
    </x:dxf>
    <x:dxf>
      <x:fill>
        <x:patternFill>
          <x:bgColor rgb="FFFFDC82"/>
        </x:patternFill>
      </x:fill>
    </x:dxf>
    <x:dxf>
      <x:fill>
        <x:patternFill>
          <x:bgColor rgb="FFFFDE82"/>
        </x:patternFill>
      </x:fill>
    </x:dxf>
    <x:dxf>
      <x:fill>
        <x:patternFill>
          <x:bgColor rgb="FFFFE383"/>
        </x:patternFill>
      </x:fill>
    </x:dxf>
    <x:dxf>
      <x:fill>
        <x:patternFill>
          <x:bgColor rgb="FFFFE483"/>
        </x:patternFill>
      </x:fill>
    </x:dxf>
    <x:dxf>
      <x:fill>
        <x:patternFill>
          <x:bgColor rgb="FFFFE784"/>
        </x:patternFill>
      </x:fill>
    </x:dxf>
    <x:dxf>
      <x:fill>
        <x:patternFill>
          <x:bgColor rgb="FFFFE984"/>
        </x:patternFill>
      </x:fill>
    </x:dxf>
    <x:dxf>
      <x:fill>
        <x:patternFill>
          <x:bgColor rgb="FFFCE4D6"/>
        </x:patternFill>
      </x:fill>
    </x:dxf>
    <x:dxf>
      <x:fill>
        <x:patternFill>
          <x:bgColor rgb="FFB23A48"/>
        </x:patternFill>
      </x:fill>
    </x:dxf>
    <x:dxf>
      <x:font>
        <x:b/>
        <x:color rgb="FFB23A48"/>
      </x:font>
      <x:fill>
        <x:patternFill>
          <x:bgColor rgb="FFFCE4D6"/>
        </x:patternFill>
      </x:fill>
    </x:dxf>
    <x:dxf>
      <x:font>
        <x:b/>
        <x:color rgb="FFB23A48"/>
      </x:font>
      <x:fill>
        <x:patternFill>
          <x:bgColor rgb="FFFCE4D6"/>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156082"/>
      <x:rgbColor rgb="FFBFBFBF"/>
      <x:rgbColor rgb="FF8B8B8B"/>
      <x:rgbColor rgb="FF9999FF"/>
      <x:rgbColor rgb="FFB23A48"/>
      <x:rgbColor rgb="FFEEF5FB"/>
      <x:rgbColor rgb="FFD9EAF7"/>
      <x:rgbColor rgb="FF660066"/>
      <x:rgbColor rgb="FFFF8080"/>
      <x:rgbColor rgb="FF0066CC"/>
      <x:rgbColor rgb="FFCCCCCC"/>
      <x:rgbColor rgb="FF000080"/>
      <x:rgbColor rgb="FFFF00FF"/>
      <x:rgbColor rgb="FFFFFF00"/>
      <x:rgbColor rgb="FF00FFFF"/>
      <x:rgbColor rgb="FF800080"/>
      <x:rgbColor rgb="FF800000"/>
      <x:rgbColor rgb="FF2F6B5E"/>
      <x:rgbColor rgb="FF0000FF"/>
      <x:rgbColor rgb="FF00CCFF"/>
      <x:rgbColor rgb="FFE7E6E6"/>
      <x:rgbColor rgb="FFE2F0D9"/>
      <x:rgbColor rgb="FFFCE4D6"/>
      <x:rgbColor rgb="FFD9D9D9"/>
      <x:rgbColor rgb="FFFF99CC"/>
      <x:rgbColor rgb="FFCC99FF"/>
      <x:rgbColor rgb="FFF4B183"/>
      <x:rgbColor rgb="FF2F75B5"/>
      <x:rgbColor rgb="FF33CCCC"/>
      <x:rgbColor rgb="FF99CC00"/>
      <x:rgbColor rgb="FFFFCC00"/>
      <x:rgbColor rgb="FFFF9900"/>
      <x:rgbColor rgb="FFE97132"/>
      <x:rgbColor rgb="FF666666"/>
      <x:rgbColor rgb="FF9EADBA"/>
      <x:rgbColor rgb="FF17365D"/>
      <x:rgbColor rgb="FF339966"/>
      <x:rgbColor rgb="FF003300"/>
      <x:rgbColor rgb="FF234F1E"/>
      <x:rgbColor rgb="FF993300"/>
      <x:rgbColor rgb="FF993366"/>
      <x:rgbColor rgb="FF333399"/>
      <x:rgbColor rgb="FF222222"/>
    </x:indexedColors>
  </x:colors>
</x:styleSheet>
</file>

<file path=xl/_rels/workbook.xml.rels>&#65279;<?xml version="1.0" encoding="utf-8"?><Relationships xmlns="http://schemas.openxmlformats.org/package/2006/relationships"><Relationship Type="http://schemas.openxmlformats.org/officeDocument/2006/relationships/styles" Target="/xl/styles.xml" Id="R0967bc64fd5c41cc" /><Relationship Type="http://schemas.openxmlformats.org/officeDocument/2006/relationships/theme" Target="/xl/theme/theme1.xml" Id="Rd19cf10985e64ab8" /><Relationship Type="http://schemas.microsoft.com/office/2022/11/relationships/FeaturePropertyBag" Target="/xl/featurePropertyBag/featurePropertyBag.xml" Id="R6d83aa4c8aa34c3e" /><Relationship Type="http://schemas.openxmlformats.org/officeDocument/2006/relationships/sharedStrings" Target="/xl/sharedStrings.xml" Id="R2c4a3a420f2b4fe1" /><Relationship Type="http://schemas.openxmlformats.org/officeDocument/2006/relationships/worksheet" Target="/xl/worksheets/sheet1.xml" Id="R8e467e260d124ad8" /><Relationship Type="http://schemas.openxmlformats.org/officeDocument/2006/relationships/worksheet" Target="/xl/worksheets/sheet2.xml" Id="R2e95fb2f8b2c4988" /><Relationship Type="http://schemas.openxmlformats.org/officeDocument/2006/relationships/worksheet" Target="/xl/worksheets/sheet3.xml" Id="R02da1686874d40b0" /><Relationship Type="http://schemas.openxmlformats.org/officeDocument/2006/relationships/worksheet" Target="/xl/worksheets/sheet4.xml" Id="R410b9bb72079406d" /><Relationship Type="http://schemas.openxmlformats.org/officeDocument/2006/relationships/worksheet" Target="/xl/worksheets/sheet5.xml" Id="R10790eb1b12f48fb" /><Relationship Type="http://schemas.openxmlformats.org/officeDocument/2006/relationships/worksheet" Target="/xl/worksheets/sheet6.xml" Id="R8b8c577a661043fd" /><Relationship Type="http://schemas.openxmlformats.org/officeDocument/2006/relationships/worksheet" Target="/xl/worksheets/sheet7.xml" Id="R4aee0d79f8114b21" /><Relationship Type="http://schemas.openxmlformats.org/officeDocument/2006/relationships/worksheet" Target="/xl/worksheets/sheet8.xml" Id="R4daef21afa0446cd" /><Relationship Type="http://schemas.openxmlformats.org/officeDocument/2006/relationships/worksheet" Target="/xl/worksheets/sheet9.xml" Id="Rb0d51e9de4354b7c" /><Relationship Type="http://schemas.openxmlformats.org/officeDocument/2006/relationships/worksheet" Target="/xl/worksheets/sheet10.xml" Id="R4365f55ec57545a1" /><Relationship Type="http://schemas.openxmlformats.org/officeDocument/2006/relationships/worksheet" Target="/xl/worksheets/sheet11.xml" Id="Rb67fd37bb0614932" /><Relationship Type="http://schemas.openxmlformats.org/officeDocument/2006/relationships/worksheet" Target="/xl/worksheets/sheet12.xml" Id="Rb30363fdcdf548a5" /><Relationship Type="http://schemas.openxmlformats.org/officeDocument/2006/relationships/worksheet" Target="/xl/worksheets/sheet13.xml" Id="Rcb28d4b0078a45c4" /><Relationship Type="http://schemas.openxmlformats.org/officeDocument/2006/relationships/worksheet" Target="/xl/worksheets/sheet14.xml" Id="Ra3b49442ce524a53" /></Relationships>
</file>

<file path=xl/drawings/_rels/drawing1.xml.rels>&#65279;<?xml version="1.0" encoding="utf-8"?><Relationships xmlns="http://schemas.openxmlformats.org/package/2006/relationships"><Relationship Type="http://schemas.openxmlformats.org/officeDocument/2006/relationships/chart" Target="/xl/drawings/charts/chart1.xml" Id="R917833dd209846aa" /></Relationships>
</file>

<file path=xl/drawings/_rels/drawing2.xml.rels>&#65279;<?xml version="1.0" encoding="utf-8"?><Relationships xmlns="http://schemas.openxmlformats.org/package/2006/relationships"><Relationship Type="http://schemas.openxmlformats.org/officeDocument/2006/relationships/chart" Target="/xl/drawings/charts/chart2.xml" Id="Rd545e65fb9ab472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Capture rate and precision</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Capture rate</c:v>
          </c:tx>
          <c:cat>
            <c:strRef>
              <c:f>'Signal Comparison'!$A$5:$A$12</c:f>
              <c:strCache>
                <c:ptCount val="0"/>
              </c:strCache>
            </c:strRef>
          </c:cat>
          <c:val>
            <c:numRef>
              <c:f>'Signal Comparison'!$E$5:$E$12</c:f>
              <c:numCache>
                <c:formatCode>0%</c:formatCode>
                <c:ptCount val="0"/>
              </c:numCache>
            </c:numRef>
          </c:val>
        </c:ser>
        <c:ser>
          <c:idx val="1"/>
          <c:order val="1"/>
          <c:tx>
            <c:v>Precision</c:v>
          </c:tx>
          <c:cat>
            <c:strRef>
              <c:f>'Signal Comparison'!$A$5:$A$12</c:f>
              <c:strCache>
                <c:ptCount val="0"/>
              </c:strCache>
            </c:strRef>
          </c:cat>
          <c:val>
            <c:numRef>
              <c:f>'Signal Comparison'!$G$5:$G$12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strike="noStrike" spc="-1">
                <a:solidFill>
                  <a:srgbClr val="000000"/>
                </a:solidFill>
                <a:latin typeface="Arial"/>
                <a:ea typeface="Arial"/>
                <a:cs typeface="Arial"/>
              </a:rPr>
              <a:t>Rates rose sharply before the 2023 failures</a:t>
            </a:r>
          </a:p>
        </c:rich>
      </c:tx>
      <c:overlay val="0"/>
      <c:txPr>
        <a:bodyPr xmlns:a="http://schemas.openxmlformats.org/drawingml/2006/main" anchorCtr="1"/>
        <a:lstStyle xmlns:a="http://schemas.openxmlformats.org/drawingml/2006/main"/>
        <a:p xmlns:a="http://schemas.openxmlformats.org/drawingml/2006/main">
          <a:pPr>
            <a:defRPr sz="1800" b="1" strike="noStrike" spc="-1">
              <a:solidFill>
                <a:srgbClr val="000000"/>
              </a:solidFill>
              <a:latin typeface="Arial"/>
              <a:ea typeface="Arial"/>
              <a:cs typeface="Arial"/>
            </a:defRPr>
          </a:pPr>
        </a:p>
      </c:txPr>
    </c:title>
    <c:autoTitleDeleted val="0"/>
    <c:plotArea>
      <c:lineChart>
        <c:grouping val="standard"/>
        <c:varyColors val="0"/>
        <c:ser>
          <c:idx val="0"/>
          <c:order val="0"/>
          <c:tx>
            <c:strRef>
              <c:f>"Effective federal funds rate"</c:f>
              <c:strCache>
                <c:ptCount val="1"/>
                <c:pt idx="0">
                  <c:v>Effective federal funds rate</c:v>
                </c:pt>
              </c:strCache>
            </c:strRef>
          </c:tx>
          <c:spPr>
            <a:solidFill xmlns:a="http://schemas.openxmlformats.org/drawingml/2006/main">
              <a:srgbClr val="156082"/>
            </a:solidFill>
            <a:ln xmlns:a="http://schemas.openxmlformats.org/drawingml/2006/main" w="38160">
              <a:solidFill>
                <a:srgbClr val="156082"/>
              </a:solidFill>
            </a:ln>
          </c:spPr>
          <c:marker>
            <c:symbol val="none"/>
          </c:marker>
          <c:dLbls>
            <c:txPr>
              <a:bodyPr xmlns:a="http://schemas.openxmlformats.org/drawingml/2006/main" anchorCtr="1"/>
              <a:lstStyle xmlns:a="http://schemas.openxmlformats.org/drawingml/2006/main"/>
              <a:p xmlns:a="http://schemas.openxmlformats.org/drawingml/2006/main">
                <a:pPr>
                  <a:defRPr sz="1000" b="0" strike="noStrike" spc="-1">
                    <a:latin typeface="Arial"/>
                    <a:ea typeface="Arial"/>
                    <a:cs typeface="Arial"/>
                  </a:defRPr>
                </a:pPr>
              </a:p>
            </c:txPr>
            <c:showLegendKey val="0"/>
            <c:showVal val="0"/>
            <c:showCatName val="0"/>
            <c:showSerName val="0"/>
            <c:showPercent val="0"/>
            <c:showBubbleSize val="0"/>
            <c:separator> </c:separator>
            <c:showLeaderLines val="1"/>
          </c:dLbls>
          <c:cat>
            <c:strRef>
              <c:f>'Macro Context'!$A$5:$A$16</c:f>
              <c:strCache>
                <c:ptCount val="12"/>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strCache>
            </c:strRef>
          </c:cat>
          <c:val>
            <c:numRef>
              <c:f>'Macro Context'!$B$5:$B$16</c:f>
              <c:numCache>
                <c:formatCode>0.00%</c:formatCode>
                <c:ptCount val="12"/>
                <c:pt idx="0">
                  <c:v>0.00077</c:v>
                </c:pt>
                <c:pt idx="1">
                  <c:v>0.00068</c:v>
                </c:pt>
                <c:pt idx="2">
                  <c:v>0.0009</c:v>
                </c:pt>
                <c:pt idx="3">
                  <c:v>0.00079</c:v>
                </c:pt>
                <c:pt idx="4">
                  <c:v>0.00121</c:v>
                </c:pt>
                <c:pt idx="5">
                  <c:v>0.00767</c:v>
                </c:pt>
                <c:pt idx="6">
                  <c:v>0.02183</c:v>
                </c:pt>
                <c:pt idx="7">
                  <c:v>0.03653</c:v>
                </c:pt>
                <c:pt idx="8">
                  <c:v>0.04515</c:v>
                </c:pt>
                <c:pt idx="9">
                  <c:v>0.04988</c:v>
                </c:pt>
                <c:pt idx="10">
                  <c:v>0.05259</c:v>
                </c:pt>
                <c:pt idx="11">
                  <c:v>0.0533</c:v>
                </c:pt>
              </c:numCache>
            </c:numRef>
          </c:val>
          <c:smooth val="0"/>
        </c:ser>
        <c:ser>
          <c:idx val="1"/>
          <c:order val="1"/>
          <c:tx>
            <c:strRef>
              <c:f>"10-year Treasury yield"</c:f>
              <c:strCache>
                <c:ptCount val="1"/>
                <c:pt idx="0">
                  <c:v>10-year Treasury yield</c:v>
                </c:pt>
              </c:strCache>
            </c:strRef>
          </c:tx>
          <c:spPr>
            <a:solidFill xmlns:a="http://schemas.openxmlformats.org/drawingml/2006/main">
              <a:srgbClr val="E97132"/>
            </a:solidFill>
            <a:ln xmlns:a="http://schemas.openxmlformats.org/drawingml/2006/main" w="38160">
              <a:solidFill>
                <a:srgbClr val="E97132"/>
              </a:solidFill>
            </a:ln>
          </c:spPr>
          <c:marker>
            <c:symbol val="none"/>
          </c:marker>
          <c:dLbls>
            <c:txPr>
              <a:bodyPr xmlns:a="http://schemas.openxmlformats.org/drawingml/2006/main" anchorCtr="1"/>
              <a:lstStyle xmlns:a="http://schemas.openxmlformats.org/drawingml/2006/main"/>
              <a:p xmlns:a="http://schemas.openxmlformats.org/drawingml/2006/main">
                <a:pPr>
                  <a:defRPr sz="1000" b="0" strike="noStrike" spc="-1">
                    <a:latin typeface="Arial"/>
                    <a:ea typeface="Arial"/>
                    <a:cs typeface="Arial"/>
                  </a:defRPr>
                </a:pPr>
              </a:p>
            </c:txPr>
            <c:showLegendKey val="0"/>
            <c:showVal val="0"/>
            <c:showCatName val="0"/>
            <c:showSerName val="0"/>
            <c:showPercent val="0"/>
            <c:showBubbleSize val="0"/>
            <c:separator> </c:separator>
            <c:showLeaderLines val="1"/>
          </c:dLbls>
          <c:cat>
            <c:strRef>
              <c:f>'Macro Context'!$A$5:$A$16</c:f>
              <c:strCache>
                <c:ptCount val="12"/>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strCache>
            </c:strRef>
          </c:cat>
          <c:val>
            <c:numRef>
              <c:f>'Macro Context'!$C$5:$C$16</c:f>
              <c:numCache>
                <c:formatCode>0.00%</c:formatCode>
                <c:ptCount val="12"/>
                <c:pt idx="0">
                  <c:v>0.01336</c:v>
                </c:pt>
                <c:pt idx="1">
                  <c:v>0.01591</c:v>
                </c:pt>
                <c:pt idx="2">
                  <c:v>0.01325</c:v>
                </c:pt>
                <c:pt idx="3">
                  <c:v>0.01533</c:v>
                </c:pt>
                <c:pt idx="4">
                  <c:v>0.01951</c:v>
                </c:pt>
                <c:pt idx="5">
                  <c:v>0.02933</c:v>
                </c:pt>
                <c:pt idx="6">
                  <c:v>0.03101</c:v>
                </c:pt>
                <c:pt idx="7">
                  <c:v>0.03827</c:v>
                </c:pt>
                <c:pt idx="8">
                  <c:v>0.03646</c:v>
                </c:pt>
                <c:pt idx="9">
                  <c:v>0.03596</c:v>
                </c:pt>
                <c:pt idx="10">
                  <c:v>0.0415</c:v>
                </c:pt>
                <c:pt idx="11">
                  <c:v>0.04447</c:v>
                </c:pt>
              </c:numCache>
            </c:numRef>
          </c:val>
          <c:smooth val="0"/>
        </c:ser>
        <c:axId val="26604821"/>
        <c:axId val="68270611"/>
      </c:lineChart>
      <c:catAx>
        <c:axId val="26604821"/>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675" b="0" strike="noStrike" spc="-1">
                <a:solidFill>
                  <a:srgbClr val="000000"/>
                </a:solidFill>
                <a:latin typeface="Arial"/>
                <a:ea typeface="Arial"/>
                <a:cs typeface="Arial"/>
              </a:defRPr>
            </a:pPr>
          </a:p>
        </c:txPr>
        <c:crossAx val="68270611"/>
        <c:crosses val="autoZero"/>
        <c:lblAlgn val="ctr"/>
        <c:noMultiLvlLbl val="0"/>
        <c:lblOffset val="100"/>
      </c:catAx>
      <c:valAx>
        <c:axId val="68270611"/>
        <c:scaling>
          <c:orientation val="minMax"/>
        </c:scaling>
        <c:delete val="0"/>
        <c:axPos val="l"/>
        <c:majorGridlines>
          <c:spPr>
            <a:ln xmlns:a="http://schemas.openxmlformats.org/drawingml/2006/main" w="9360">
              <a:solidFill>
                <a:srgbClr val="CCCCCC"/>
              </a:solidFill>
              <a:prstDash val="dash"/>
            </a:ln>
          </c:spPr>
        </c:majorGridlines>
        <c:numFmt formatCode="0.0%"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strike="noStrike" spc="-1">
                <a:solidFill>
                  <a:srgbClr val="000000"/>
                </a:solidFill>
                <a:latin typeface="Arial"/>
                <a:ea typeface="Arial"/>
                <a:cs typeface="Arial"/>
              </a:defRPr>
            </a:pPr>
          </a:p>
        </c:txPr>
        <c:crossAx val="26604821"/>
        <c:crosses val="autoZero"/>
        <c:crossBetween val="between"/>
      </c:valAx>
      <c:spPr>
        <a:noFill xmlns:a="http://schemas.openxmlformats.org/drawingml/2006/main"/>
        <a:ln xmlns:a="http://schemas.openxmlformats.org/drawingml/2006/main" w="0">
          <a:noFill/>
        </a:ln>
      </c:spPr>
    </c:plotArea>
    <c:legend>
      <c:legendPos val="t"/>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strike="noStrike" spc="-1">
              <a:solidFill>
                <a:srgbClr val="000000"/>
              </a:solidFill>
              <a:latin typeface="Arial"/>
              <a:ea typeface="Arial"/>
              <a:cs typeface="Arial"/>
            </a:defRPr>
          </a:pPr>
        </a:p>
      </c:txPr>
    </c:legend>
    <c:plotVisOnly val="1"/>
    <c:dispBlanksAs val="gap"/>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7833dd209846aa"/>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xdr:row>
      <xdr:rowOff>0</xdr:rowOff>
    </xdr:from>
    <xdr:to>
      <xdr:col>13</xdr:col>
      <xdr:colOff>611280</xdr:colOff>
      <xdr:row>19</xdr:row>
      <xdr:rowOff>190080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45e65fb9ab472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9" name="FailedProfilesV3Table" displayName="FailedProfilesV3Table" ref="A4:P7" headerRowCount="1" totalsRowCount="0" totalsRowShown="0">
  <x:tableColumns count="16">
    <x:tableColumn id="1" name="Institution"/>
    <x:tableColumn id="2" name="FDIC Cert"/>
    <x:tableColumn id="3" name="Failure date"/>
    <x:tableColumn id="4" name="Assets ($bn)"/>
    <x:tableColumn id="5" name="Capital / assets"/>
    <x:tableColumn id="6" name="Cash / assets"/>
    <x:tableColumn id="7" name="Securities / assets"/>
    <x:tableColumn id="8" name="MTM gap / equity"/>
    <x:tableColumn id="9" name="Uninsured deposits / deposits"/>
    <x:tableColumn id="10" name="Noncurrent loans / loans"/>
    <x:tableColumn id="11" name="Rate score"/>
    <x:tableColumn id="12" name="Funding score"/>
    <x:tableColumn id="13" name="Credit score"/>
    <x:tableColumn id="14" name="Baseline rank"/>
    <x:tableColumn id="15" name="Trigger rank"/>
    <x:tableColumn id="16" name="Trigger score"/>
  </x:tableColumns>
  <x:tableStyleInfo name="TableStyleMedium2" showFirstColumn="0" showLastColumn="0" showRowStripes="1" showColumnStripes="0"/>
</x:table>
</file>

<file path=xl/tables/table2.xml><?xml version="1.0" encoding="utf-8"?>
<x:table xmlns:x="http://schemas.openxmlformats.org/spreadsheetml/2006/main" id="10" name="SignalComparisonV3Table" displayName="SignalComparisonV3Table" ref="A4:H12" headerRowCount="1" totalsRowCount="0" totalsRowShown="0">
  <x:tableColumns count="8">
    <x:tableColumn id="1" name="Signal"/>
    <x:tableColumn id="2" name="Top-decile institutions"/>
    <x:tableColumn id="3" name="Failures in sample"/>
    <x:tableColumn id="4" name="Failures captured"/>
    <x:tableColumn id="5" name="Capture rate"/>
    <x:tableColumn id="6" name="False positives"/>
    <x:tableColumn id="7" name="Precision"/>
    <x:tableColumn id="8" name="False-positive share"/>
  </x:tableColumns>
  <x:tableStyleInfo name="TableStyleMedium2" showFirstColumn="0" showLastColumn="0" showRowStripes="1" showColumnStripes="0"/>
</x:table>
</file>

<file path=xl/tables/table3.xml><?xml version="1.0" encoding="utf-8"?>
<x:table xmlns:x="http://schemas.openxmlformats.org/spreadsheetml/2006/main" id="11" name="CohortSummaryV3Table" displayName="CohortSummaryV3Table" ref="A4:G20" headerRowCount="1" totalsRowCount="0" totalsRowShown="0">
  <x:tableColumns count="7">
    <x:tableColumn id="1" name="Metric"/>
    <x:tableColumn id="2" name="Cohort"/>
    <x:tableColumn id="3" name="Count"/>
    <x:tableColumn id="4" name="Median"/>
    <x:tableColumn id="5" name="Mean"/>
    <x:tableColumn id="6" name="25th percentile"/>
    <x:tableColumn id="7" name="75th percentile"/>
  </x:tableColumns>
  <x:tableStyleInfo name="TableStyleMedium2" showFirstColumn="0" showLastColumn="0" showRowStripes="1" showColumnStripes="0"/>
</x:table>
</file>

<file path=xl/tables/table4.xml><?xml version="1.0" encoding="utf-8"?>
<x:table xmlns:x="http://schemas.openxmlformats.org/spreadsheetml/2006/main" id="8" name="PeerMetricsFilingTable" displayName="PeerMetricsFilingTable" ref="A4:T153" headerRowCount="1" totalsRowCount="0" totalsRowShown="0">
  <x:tableColumns count="20">
    <x:tableColumn id="1" name="Institution"/>
    <x:tableColumn id="2" name="2023 outcome group"/>
    <x:tableColumn id="3" name="Assets ($bn)"/>
    <x:tableColumn id="4" name="Capital / assets"/>
    <x:tableColumn id="5" name="Cash / assets"/>
    <x:tableColumn id="6" name="Securities / assets"/>
    <x:tableColumn id="7" name="Securities MTM gap / equity"/>
    <x:tableColumn id="8" name="Uninsured deposits / deposits"/>
    <x:tableColumn id="9" name="Noncurrent loans / loans"/>
    <x:tableColumn id="10" name="Rate score"/>
    <x:tableColumn id="11" name="Funding score"/>
    <x:tableColumn id="12" name="Credit score"/>
    <x:tableColumn id="13" name="Rate-funding interaction"/>
    <x:tableColumn id="14" name="Baseline score"/>
    <x:tableColumn id="15" name="Baseline rank"/>
    <x:tableColumn id="16" name="Trigger score"/>
    <x:tableColumn id="17" name="Trigger rank"/>
    <x:tableColumn id="18" name="Failed in 2023"/>
    <x:tableColumn id="19" name="Failure date"/>
    <x:tableColumn id="20" name="Other-peer trigger score (summary helper)"/>
  </x:tableColumns>
  <x:tableStyleInfo name="TableStyleMedium2" showFirstColumn="0" showLastColumn="0" showRowStripes="1" showColumnStripes="0"/>
</x:table>
</file>

<file path=xl/tables/table5.xml><?xml version="1.0" encoding="utf-8"?>
<x:table xmlns:x="http://schemas.openxmlformats.org/spreadsheetml/2006/main" id="12" name="WeightSensitivityV3Table" displayName="WeightSensitivityV3Table" ref="A4:E19" headerRowCount="1" totalsRowCount="0" totalsRowShown="0">
  <x:tableColumns count="5">
    <x:tableColumn id="1" name="Scenario"/>
    <x:tableColumn id="2" name="Institution"/>
    <x:tableColumn id="3" name="Rank"/>
    <x:tableColumn id="4" name="Top decile"/>
    <x:tableColumn id="5" name="Score"/>
  </x:tableColumns>
  <x:tableStyleInfo name="TableStyleMedium2" showFirstColumn="0" showLastColumn="0" showRowStripes="1" showColumnStripes="0"/>
</x:table>
</file>

<file path=xl/tables/table6.xml><?xml version="1.0" encoding="utf-8"?>
<x:table xmlns:x="http://schemas.openxmlformats.org/spreadsheetml/2006/main" id="14" name="MacroContextV3Table" displayName="MacroContextV3Table" ref="A4:D16" headerRowCount="1" totalsRowCount="0" totalsRowShown="0">
  <x:tableColumns count="4">
    <x:tableColumn id="1" name="Quarter"/>
    <x:tableColumn id="2" name="Effective federal funds rate"/>
    <x:tableColumn id="3" name="10-year Treasury yield"/>
    <x:tableColumn id="4" name="Fed funds change from 2021Q4 (pp)"/>
  </x:tableColumns>
  <x:tableStyleInfo name="TableStyleMedium2" showFirstColumn="0" showLastColumn="0" showRowStripes="1" showColumnStripes="0"/>
</x:table>
</file>

<file path=xl/tables/table7.xml><?xml version="1.0" encoding="utf-8"?>
<x:table xmlns:x="http://schemas.openxmlformats.org/spreadsheetml/2006/main" id="13" name="SourcesV3Table" displayName="SourcesV3Table" ref="A4:D14" headerRowCount="1" totalsRowCount="0" totalsRowShown="0">
  <x:tableColumns count="4">
    <x:tableColumn id="1" name="Source"/>
    <x:tableColumn id="2" name="Use"/>
    <x:tableColumn id="3" name="URL / relative path"/>
    <x:tableColumn id="4" name="Access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table" Target="/xl/tables/table1.xml" Id="Rd03645c606444e18" /></Relationships>
</file>

<file path=xl/worksheets/_rels/sheet8.xml.rels>&#65279;<?xml version="1.0" encoding="utf-8"?><Relationships xmlns="http://schemas.openxmlformats.org/package/2006/relationships"><Relationship Type="http://schemas.openxmlformats.org/officeDocument/2006/relationships/drawing" Target="/xl/drawings/drawing1.xml" Id="R031691513b22431f" /><Relationship Type="http://schemas.openxmlformats.org/officeDocument/2006/relationships/table" Target="/xl/tables/table2.xml" Id="R830671f861fc469b" /></Relationships>
</file>

<file path=xl/worksheets/_rels/sheet9.xml.rels>&#65279;<?xml version="1.0" encoding="utf-8"?><Relationships xmlns="http://schemas.openxmlformats.org/package/2006/relationships"><Relationship Type="http://schemas.openxmlformats.org/officeDocument/2006/relationships/table" Target="/xl/tables/table3.xml" Id="R40fec28c294544be" /></Relationships>
</file>

<file path=xl/worksheets/_rels/sheet10.xml.rels>&#65279;<?xml version="1.0" encoding="utf-8"?><Relationships xmlns="http://schemas.openxmlformats.org/package/2006/relationships"><Relationship Type="http://schemas.openxmlformats.org/officeDocument/2006/relationships/table" Target="/xl/tables/table4.xml" Id="R7fca1db1e57a4c3d" /></Relationships>
</file>

<file path=xl/worksheets/_rels/sheet11.xml.rels>&#65279;<?xml version="1.0" encoding="utf-8"?><Relationships xmlns="http://schemas.openxmlformats.org/package/2006/relationships"><Relationship Type="http://schemas.openxmlformats.org/officeDocument/2006/relationships/table" Target="/xl/tables/table5.xml" Id="Raa2f1c47509f40f2" /></Relationships>
</file>

<file path=xl/worksheets/_rels/sheet12.xml.rels>&#65279;<?xml version="1.0" encoding="utf-8"?><Relationships xmlns="http://schemas.openxmlformats.org/package/2006/relationships"><Relationship Type="http://schemas.openxmlformats.org/officeDocument/2006/relationships/drawing" Target="/xl/drawings/drawing2.xml" Id="Rf68da80d99f948d4" /><Relationship Type="http://schemas.openxmlformats.org/officeDocument/2006/relationships/table" Target="/xl/tables/table6.xml" Id="R838a9142de304e99" /></Relationships>
</file>

<file path=xl/worksheets/_rels/sheet14.xml.rels>&#65279;<?xml version="1.0" encoding="utf-8"?><Relationships xmlns="http://schemas.openxmlformats.org/package/2006/relationships"><Relationship Type="http://schemas.openxmlformats.org/officeDocument/2006/relationships/table" Target="/xl/tables/table7.xml" Id="Raa690ddc36ef4727" /></Relationships>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0" style="1" hidden="0" customWidth="1"/>
    <x:col min="2" max="4" width="40" style="1" hidden="0" customWidth="1"/>
  </x:cols>
  <x:sheetData>
    <x:row r="1" ht="30" hidden="0" customHeight="1">
      <x:c r="A1" s="2" t="s">
        <x:v>0</x:v>
      </x:c>
      <x:c r="B1" s="2"/>
      <x:c r="C1" s="2"/>
      <x:c r="D1" s="2"/>
    </x:row>
    <x:row r="2" ht="31.5" hidden="0" customHeight="1">
      <x:c r="A2" s="3" t="s">
        <x:v>1</x:v>
      </x:c>
      <x:c r="B2" s="3"/>
      <x:c r="C2" s="3"/>
      <x:c r="D2" s="3"/>
    </x:row>
    <x:row r="4" ht="15" hidden="0">
      <x:c r="A4" s="4" t="s">
        <x:v>2</x:v>
      </x:c>
      <x:c r="B4" s="4"/>
      <x:c r="C4" s="4"/>
      <x:c r="D4" s="4"/>
    </x:row>
    <x:row r="5" ht="61.5" hidden="0" customHeight="1">
      <x:c r="A5" s="5" t="s">
        <x:v>3</x:v>
      </x:c>
      <x:c r="B5" s="5"/>
      <x:c r="C5" s="5"/>
      <x:c r="D5" s="5"/>
    </x:row>
    <x:row r="7" ht="15" hidden="0">
      <x:c r="A7" s="4" t="s">
        <x:v>4</x:v>
      </x:c>
      <x:c r="B7" s="4"/>
      <x:c r="C7" s="4"/>
      <x:c r="D7" s="4"/>
    </x:row>
    <x:row r="8" ht="57.75" hidden="0" customHeight="1">
      <x:c r="A8" s="120" t="str">
        <x:v>Feasibility</x:v>
      </x:c>
      <x:c r="B8" s="77" t="str">
        <x:v>A reproducible public-data pipeline can build the proposed measures for the defined bank sample without proprietary employer data.</x:v>
      </x:c>
      <x:c r="C8" s="77" t="str">
        <x:v>See Peer Metrics, Methodology, and Sources.</x:v>
      </x:c>
      <x:c r="D8" s="7"/>
    </x:row>
    <x:row r="9" ht="57.75" hidden="0" customHeight="1">
      <x:c r="A9" s="120" t="str">
        <x:v>A corrected historical diagnostic</x:v>
      </x:c>
      <x:c r="B9" s="77" t="str">
        <x:v>After enforcing the asset filter before scoring, the three 2023 failures rank in the top 15. The trigger was designed after reviewing 2023, so the result is in-sample.</x:v>
      </x:c>
      <x:c r="C9" s="77" t="str">
        <x:v>See Executive Summary and Robustness Check.</x:v>
      </x:c>
      <x:c r="D9" s="7"/>
    </x:row>
    <x:row r="10" ht="57.75" hidden="0" customHeight="1">
      <x:c r="A10" s="120" t="str">
        <x:v>The most important limitation</x:v>
      </x:c>
      <x:c r="B10" s="77" t="str">
        <x:v>Uninsured-deposit concentration alone also captured all three failures. The integrated score flagged 12 nonfailures. This workbook does not show that integration is superior.</x:v>
      </x:c>
      <x:c r="C10" s="77" t="str">
        <x:v>See Robustness Check and Review Findings.</x:v>
      </x:c>
      <x:c r="D10" s="7"/>
    </x:row>
    <x:row r="11" ht="72" hidden="0" customHeight="1">
      <x:c r="A11" s="120" t="str">
        <x:v>A testable next step</x:v>
      </x:c>
      <x:c r="B11" s="77" t="str">
        <x:v>Version 1.0.1 was frozen and independently timestamped on October 8, 2026 (https://doi.org/10.5281/zenodo.23246551). The unchanged specification will be evaluated in the 2008-2011 and 2019-2020 historical tests and in a prospective test.</x:v>
      </x:c>
      <x:c r="C11" s="77" t="str">
        <x:v>See Validation Roadmap and Milestones.</x:v>
      </x:c>
      <x:c r="D11" s="77"/>
    </x:row>
    <x:row r="13" ht="15" hidden="0">
      <x:c r="A13" s="4" t="s">
        <x:v>5</x:v>
      </x:c>
      <x:c r="B13" s="4"/>
      <x:c r="C13" s="4"/>
      <x:c r="D13" s="4"/>
    </x:row>
    <x:row r="14" ht="45.75" hidden="0" customHeight="1">
      <x:c r="A14" s="120" t="str">
        <x:v>Prong 1: merit and national importance</x:v>
      </x:c>
      <x:c r="B14" s="77" t="str">
        <x:v>Bank stress can involve interacting valuation, funding, liquidity, credit, and capital channels. If validated and disseminated, a transferable public-data method could help banks identify emerging concentrations. This workbook establishes feasibility only, not national importance by itself.</x:v>
      </x:c>
      <x:c r="C14" s="77"/>
      <x:c r="D14" s="77"/>
    </x:row>
    <x:row r="15" ht="45.75" hidden="0" customHeight="1">
      <x:c r="A15" s="120" t="str">
        <x:v>Prong 2: well positioned</x:v>
      </x:c>
      <x:c r="B15" s="77" t="str">
        <x:v>This dated workbook, corrected code, cached sources, explicit limitations, and pre-stated validation plan document concrete progress toward the endeavor. They should be considered with the petitioner's professional record and independent evidence.</x:v>
      </x:c>
      <x:c r="C15" s="77"/>
      <x:c r="D15" s="77"/>
    </x:row>
    <x:row r="16" ht="45.75" hidden="0" customHeight="1">
      <x:c r="A16" s="120" t="str">
        <x:v>Prong 3: balance of factors</x:v>
      </x:c>
      <x:c r="B16" s="77" t="str">
        <x:v>The planned research, templates, publications, and training are designed for use beyond a single employer. The petition must separately establish that, on balance, waiving the job-offer and labor-certification requirements would benefit the United States.</x:v>
      </x:c>
      <x:c r="C16" s="77"/>
      <x:c r="D16" s="77"/>
    </x:row>
    <x:row r="18" ht="15" hidden="0">
      <x:c r="A18" s="4" t="s">
        <x:v>6</x:v>
      </x:c>
      <x:c r="B18" s="4"/>
      <x:c r="C18" s="4"/>
      <x:c r="D18" s="4"/>
    </x:row>
    <x:row r="19" ht="15" hidden="0">
      <x:c r="A19" s="8" t="s">
        <x:v>7</x:v>
      </x:c>
      <x:c r="B19" s="8" t="s">
        <x:v>8</x:v>
      </x:c>
      <x:c r="C19" s="8" t="s">
        <x:v>9</x:v>
      </x:c>
      <x:c r="D19" s="8" t="s">
        <x:v>10</x:v>
      </x:c>
    </x:row>
    <x:row r="20" ht="43.5" hidden="0" customHeight="1">
      <x:c r="A20" s="77" t="str">
        <x:v>analysis.py and cached raw FDIC/FRED files</x:v>
      </x:c>
      <x:c r="B20" s="77" t="str">
        <x:v>Included in the support package</x:v>
      </x:c>
      <x:c r="C20" s="77" t="str">
        <x:v>Retain with the workbook and verify checksums</x:v>
      </x:c>
      <x:c r="D20" s="77" t="str">
        <x:v>Reproducible source record</x:v>
      </x:c>
    </x:row>
    <x:row r="21" ht="24" hidden="0" customHeight="1">
      <x:c r="A21" s="77" t="str">
        <x:v>Public code repository</x:v>
      </x:c>
      <x:c r="B21" s="77" t="str">
        <x:v>Completed - version 1.0.1 released October 8, 2026</x:v>
      </x:c>
      <x:c r="C21" s="77" t="str">
        <x:v>Maintain versioned releases and the DOI archive (https://doi.org/10.5281/zenodo.23246551)</x:v>
      </x:c>
      <x:c r="D21" s="77" t="str">
        <x:v>Independent timestamp and version history</x:v>
      </x:c>
    </x:row>
    <x:row r="22" ht="43.5" hidden="0" customHeight="1">
      <x:c r="A22" s="77" t="str">
        <x:v>Asset-band filter</x:v>
      </x:c>
      <x:c r="B22" s="77" t="str">
        <x:v>Corrected before percentile scoring</x:v>
      </x:c>
      <x:c r="C22" s="77" t="str">
        <x:v>Retain the local validation check for 149 banks</x:v>
      </x:c>
      <x:c r="D22" s="77" t="str">
        <x:v>Accurate and reproducible peer group</x:v>
      </x:c>
    </x:row>
    <x:row r="23" ht="43.5" hidden="0" customHeight="1">
      <x:c r="A23" s="77" t="str">
        <x:v>Personal-time and public-data confirmation</x:v>
      </x:c>
      <x:c r="B23" s="77" t="str">
        <x:v>User confirmation required</x:v>
      </x:c>
      <x:c r="C23" s="77" t="str">
        <x:v>Document that no employer data, systems, or confidential methods were used</x:v>
      </x:c>
      <x:c r="D23" s="77" t="str">
        <x:v>Clear separation from employer work</x:v>
      </x:c>
    </x:row>
    <x:row r="24" ht="43.5" hidden="0" customHeight="1">
      <x:c r="A24" s="77" t="str">
        <x:v>Employer outside-activity approval</x:v>
      </x:c>
      <x:c r="B24" s="77" t="str">
        <x:v>User confirmation required</x:v>
      </x:c>
      <x:c r="C24" s="77" t="str">
        <x:v>Confirm applicable employer policy before public dissemination</x:v>
      </x:c>
      <x:c r="D24" s="77" t="str">
        <x:v>Conflict-of-interest control</x:v>
      </x:c>
    </x:row>
    <x:row r="25" ht="43.5" hidden="0" customHeight="1">
      <x:c r="A25" s="77" t="str">
        <x:v>Peer anonymization for filing</x:v>
      </x:c>
      <x:c r="B25" s="77" t="str">
        <x:v>Completed in this workbook</x:v>
      </x:c>
      <x:c r="C25" s="77" t="str">
        <x:v>Keep the named working copy separate from the filed exhibit</x:v>
      </x:c>
      <x:c r="D25" s="77" t="str">
        <x:v>No named ranking of operating nonfailed banks</x:v>
      </x:c>
    </x:row>
  </x:sheetData>
  <x:mergeCells>
    <x:mergeCell ref="A1:D1"/>
    <x:mergeCell ref="A2:D2"/>
    <x:mergeCell ref="A4:D4"/>
    <x:mergeCell ref="A5:D5"/>
    <x:mergeCell ref="A7:D7"/>
    <x:mergeCell ref="C8:D8"/>
    <x:mergeCell ref="C9:D9"/>
    <x:mergeCell ref="C10:D10"/>
    <x:mergeCell ref="C11:D11"/>
    <x:mergeCell ref="A13:D13"/>
    <x:mergeCell ref="B14:D14"/>
    <x:mergeCell ref="B15:D15"/>
    <x:mergeCell ref="B16:D16"/>
    <x:mergeCell ref="A18:D18"/>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2" topLeftCell="A3" activePane="bottomLeft" state="frozen"/>
    </x:sheetView>
  </x:sheetViews>
  <x:sheetFormatPr defaultColWidth="8.6796875" defaultRowHeight="15"/>
  <x:cols>
    <x:col min="1" max="1" width="28" style="1" hidden="0" customWidth="1"/>
    <x:col min="2" max="2" width="18" style="1" hidden="0" customWidth="1"/>
    <x:col min="3" max="3" width="3" style="1" hidden="0" customWidth="1"/>
    <x:col min="4" max="4" width="35" style="1" hidden="0" customWidth="1"/>
    <x:col min="5" max="5" width="17" style="1" hidden="0" customWidth="1"/>
    <x:col min="6" max="6" width="3" style="1" hidden="0" customWidth="1"/>
  </x:cols>
  <x:sheetData>
    <x:row r="1" ht="31.5" hidden="0" customHeight="1">
      <x:c r="A1" s="9" t="s">
        <x:v>11</x:v>
      </x:c>
      <x:c r="B1" s="9"/>
      <x:c r="C1" s="9"/>
      <x:c r="D1" s="9"/>
      <x:c r="E1" s="9"/>
      <x:c r="F1" s="9"/>
    </x:row>
    <x:row r="2" ht="33.75" hidden="0" customHeight="1">
      <x:c r="A2" s="10" t="s">
        <x:v>12</x:v>
      </x:c>
      <x:c r="B2" s="10"/>
      <x:c r="C2" s="10"/>
      <x:c r="D2" s="10"/>
      <x:c r="E2" s="10"/>
      <x:c r="F2" s="10"/>
    </x:row>
    <x:row r="4" ht="15" hidden="0">
      <x:c r="A4" s="11" t="s">
        <x:v>13</x:v>
      </x:c>
      <x:c r="B4" s="11"/>
      <x:c r="D4" s="11" t="s">
        <x:v>14</x:v>
      </x:c>
      <x:c r="E4" s="11"/>
      <x:c r="F4" s="11"/>
    </x:row>
    <x:row r="5" ht="15" hidden="0">
      <x:c r="A5" s="12" t="s">
        <x:v>15</x:v>
      </x:c>
      <x:c r="B5" s="13" t="s">
        <x:v>16</x:v>
      </x:c>
      <x:c r="D5" s="12" t="s">
        <x:v>17</x:v>
      </x:c>
      <x:c r="E5" s="14" t="n">
        <x:f aca="0">'Robustness Check'!G11</x:f>
        <x:v>3</x:v>
      </x:c>
    </x:row>
    <x:row r="6" ht="15" hidden="0">
      <x:c r="A6" s="12" t="s">
        <x:v>18</x:v>
      </x:c>
      <x:c r="B6" s="13" t="s">
        <x:v>19</x:v>
      </x:c>
      <x:c r="D6" s="12" t="s">
        <x:v>20</x:v>
      </x:c>
      <x:c r="E6" s="14" t="n">
        <x:f aca="0">'Robustness Check'!G12</x:f>
        <x:v>1</x:v>
      </x:c>
    </x:row>
    <x:row r="7" ht="15" hidden="0">
      <x:c r="A7" s="12" t="s">
        <x:v>21</x:v>
      </x:c>
      <x:c r="B7" s="14" t="n">
        <x:f aca="0">COUNTA('Peer Metrics'!A5:A153)</x:f>
        <x:v>149</x:v>
      </x:c>
      <x:c r="D7" s="12" t="s">
        <x:v>22</x:v>
      </x:c>
      <x:c r="E7" s="110" t="n">
        <x:f>MEDIAN(INDEX('Peer Metrics'!P5:P153,MATCH('Failed Bank Profiles'!A5,'Peer Metrics'!A5:A153,0)),INDEX('Peer Metrics'!P5:P153,MATCH('Failed Bank Profiles'!A6,'Peer Metrics'!A5:A153,0)),INDEX('Peer Metrics'!P5:P153,MATCH('Failed Bank Profiles'!A7,'Peer Metrics'!A5:A153,0)))</x:f>
        <x:v>78.26600796580571</x:v>
      </x:c>
    </x:row>
    <x:row r="8" ht="15" hidden="0">
      <x:c r="A8" s="12" t="s">
        <x:v>23</x:v>
      </x:c>
      <x:c r="B8" s="14" t="n">
        <x:f aca="0">COUNTA('Failed Bank Profiles'!A5:A7)</x:f>
        <x:v>3</x:v>
      </x:c>
      <x:c r="D8" s="12" t="s">
        <x:v>24</x:v>
      </x:c>
      <x:c r="E8" s="110" t="n">
        <x:f>MEDIAN('Peer Metrics'!T5:T153)</x:f>
        <x:v>56.14124808112413</x:v>
      </x:c>
    </x:row>
    <x:row r="9" ht="15" hidden="0">
      <x:c r="A9" s="12" t="s">
        <x:v>25</x:v>
      </x:c>
      <x:c r="B9" s="14" t="n">
        <x:f aca="0">'Robustness Check'!F11</x:f>
        <x:v>15</x:v>
      </x:c>
      <x:c r="D9" s="12" t="s">
        <x:v>26</x:v>
      </x:c>
      <x:c r="E9" s="16" t="n">
        <x:v>0.03653</x:v>
      </x:c>
    </x:row>
    <x:row r="10" ht="15" hidden="0">
      <x:c r="A10" s="12" t="str">
        <x:v>Banks with complete trigger scores</x:v>
      </x:c>
      <x:c r="B10" s="14" t="n">
        <x:f>COUNT('Peer Metrics'!P5:P153)</x:f>
        <x:v>144</x:v>
      </x:c>
      <x:c r="D10" t="str">
        <x:v>Trigger-score false positives</x:v>
      </x:c>
      <x:c r="E10" t="n">
        <x:f>'Robustness Check'!I11</x:f>
        <x:v>12</x:v>
      </x:c>
    </x:row>
    <x:row r="11">
      <x:c r="D11" t="str">
        <x:v>Precision among top-decile flags</x:v>
      </x:c>
      <x:c r="E11" s="111" t="n">
        <x:f>'Robustness Check'!J11</x:f>
        <x:v>0.2</x:v>
      </x:c>
    </x:row>
    <x:row r="12" ht="15" hidden="0">
      <x:c r="A12" s="11" t="s">
        <x:v>27</x:v>
      </x:c>
      <x:c r="B12" s="11"/>
      <x:c r="C12" s="11"/>
      <x:c r="D12" s="11"/>
      <x:c r="E12" s="11"/>
      <x:c r="F12" s="11"/>
    </x:row>
    <x:row r="13" ht="44" hidden="0" customHeight="1">
      <x:c r="A13"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B13"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C13"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D13"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E13"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F13" s="17"/>
    </x:row>
    <x:row r="14" ht="44" hidden="0" customHeight="1">
      <x:c r="A14"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B14"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C14"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D14"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E14" s="112" t="str">
        <x:v>After enforcing the $10bn-$250bn filter before calculating percentiles, the sample contains 149 banks. The three 2023 failures rank 5th, 10th, and 15th on the trigger score. Their median uninsured-deposit ratio was 86.4%, compared with 41.1% for other peers, and their median securities market-value gap was 27.4% of equity, compared with 4.1%. The top 15 also include 12 nonfailures. Uninsured deposits alone captured the same three failures, so this episode does not establish that integration is better.</x:v>
      </x:c>
      <x:c r="F14" s="17"/>
    </x:row>
    <x:row r="16" ht="15" hidden="0">
      <x:c r="A16" s="11" t="s">
        <x:v>28</x:v>
      </x:c>
      <x:c r="B16" s="11"/>
      <x:c r="C16" s="11"/>
      <x:c r="D16" s="11"/>
      <x:c r="E16" s="11"/>
      <x:c r="F16" s="11"/>
    </x:row>
    <x:row r="17" ht="42" hidden="0" customHeight="1">
      <x:c r="A17" s="113" t="str">
        <x:v>The trigger and weights were selected after reviewing 2023. The result is in-sample, has an 80% false-positive share among top-decile flags, and does not establish causation or predictive accuracy. The unchanged specification was frozen and independently timestamped as version 1.0.1 on October 8, 2026 (https://doi.org/10.5281/zenodo.23246551) before the planned historical holdout and prospective tests.</x:v>
      </x:c>
      <x:c r="B17" s="113" t="str">
        <x:v>The trigger and weights were selected after reviewing 2023. The result is in-sample, has an 80% false-positive share among top-decile flags, and does not establish causation or out-of-sample predictive accuracy. The method must be frozen before the planned 2008-2011 test.</x:v>
      </x:c>
      <x:c r="C17" s="113" t="str">
        <x:v>The trigger and weights were selected after reviewing 2023. The result is in-sample, has an 80% false-positive share among top-decile flags, and does not establish causation or out-of-sample predictive accuracy. The method must be frozen before the planned 2008-2011 test.</x:v>
      </x:c>
      <x:c r="D17" s="113" t="str">
        <x:v>The trigger and weights were selected after reviewing 2023. The result is in-sample, has an 80% false-positive share among top-decile flags, and does not establish causation or out-of-sample predictive accuracy. The method must be frozen before the planned 2008-2011 test.</x:v>
      </x:c>
      <x:c r="E17" s="113" t="str">
        <x:v>The trigger and weights were selected after reviewing 2023. The result is in-sample, has an 80% false-positive share among top-decile flags, and does not establish causation or out-of-sample predictive accuracy. The method must be frozen before the planned 2008-2011 test.</x:v>
      </x:c>
      <x:c r="F17" s="18"/>
    </x:row>
    <x:row r="18" ht="33.75" hidden="0" customHeight="1">
      <x:c r="A18" s="18"/>
      <x:c r="B18" s="18"/>
      <x:c r="C18" s="18"/>
      <x:c r="D18" s="18"/>
      <x:c r="E18" s="18"/>
      <x:c r="F18" s="18"/>
    </x:row>
  </x:sheetData>
  <x:mergeCells>
    <x:mergeCell ref="A1:F1"/>
    <x:mergeCell ref="A2:F2"/>
    <x:mergeCell ref="A4:B4"/>
    <x:mergeCell ref="D4:F4"/>
    <x:mergeCell ref="A12:F12"/>
    <x:mergeCell ref="A13:F14"/>
    <x:mergeCell ref="A16:F16"/>
    <x:mergeCell ref="A17:F18"/>
  </x:mergeCells>
  <x:pageMargins left="0.7" right="0.7" top="0.75" bottom="0.75" header="0.3" footer="0.3"/>
</x:worksheet>
</file>

<file path=xl/worksheets/sheet3.xml><?xml version="1.0" encoding="utf-8"?>
<x:worksheet xmlns:x="http://schemas.openxmlformats.org/spreadsheetml/2006/main">
  <x:sheetViews>
    <x:sheetView showGridLines="1" workbookViewId="0">
      <x:pane ySplit="10" topLeftCell="A11" activePane="bottomLeft" state="frozen"/>
    </x:sheetView>
  </x:sheetViews>
  <x:sheetFormatPr defaultColWidth="8.6796875" defaultRowHeight="15"/>
  <x:cols>
    <x:col min="1" max="1" width="42" style="1" hidden="0" customWidth="1"/>
    <x:col min="2" max="8" width="12" style="1" hidden="0" customWidth="1"/>
    <x:col min="9" max="10" width="14" style="1" hidden="0" customWidth="1"/>
    <x:col min="11" max="11" width="15" hidden="0" customWidth="1"/>
    <x:col min="12" max="12" width="12" hidden="0" customWidth="1"/>
  </x:cols>
  <x:sheetData>
    <x:row r="1" ht="30" hidden="0" customHeight="1">
      <x:c r="A1" s="2" t="str">
        <x:v>Robustness Check: Corrected Sample and False Positives</x:v>
      </x:c>
      <x:c r="B1" s="2" t="str">
        <x:v>Robustness Check: Corrected Sample and False Positives</x:v>
      </x:c>
      <x:c r="C1" s="2" t="str">
        <x:v>Robustness Check: Corrected Sample and False Positives</x:v>
      </x:c>
      <x:c r="D1" s="2" t="str">
        <x:v>Robustness Check: Corrected Sample and False Positives</x:v>
      </x:c>
      <x:c r="E1" s="2" t="str">
        <x:v>Robustness Check: Corrected Sample and False Positives</x:v>
      </x:c>
      <x:c r="F1" s="2" t="str">
        <x:v>Robustness Check: Corrected Sample and False Positives</x:v>
      </x:c>
      <x:c r="G1" s="2" t="str">
        <x:v>Robustness Check: Corrected Sample and False Positives</x:v>
      </x:c>
      <x:c r="H1" s="2" t="str">
        <x:v>Robustness Check: Corrected Sample and False Positives</x:v>
      </x:c>
      <x:c r="I1" s="2" t="str">
        <x:v>Robustness Check: Corrected Sample and False Positives</x:v>
      </x:c>
      <x:c r="J1" s="2" t="str">
        <x:v>Robustness Check: Corrected Sample and False Positives</x:v>
      </x:c>
      <x:c r="K1" t="str">
        <x:v>Robustness Check: Corrected Sample and False Positives</x:v>
      </x:c>
      <x:c r="L1" t="str">
        <x:v>Robustness Check: Corrected Sample and False Positives</x:v>
      </x:c>
    </x:row>
    <x:row r="2" ht="31.5" hidden="0" customHeight="1">
      <x:c r="A2" s="3" t="str">
        <x:v>Ranks are live formulas over the corrected 149-bank sample. The component percentiles and composite scores were recomputed only after enforcing the $10bn-$250bn asset filter in code.</x:v>
      </x:c>
      <x:c r="B2" s="3" t="str">
        <x:v>Ranks are live formulas over the corrected 149-bank sample. The component percentiles and composite scores were recomputed only after enforcing the $10bn-$250bn asset filter in code.</x:v>
      </x:c>
      <x:c r="C2" s="3" t="str">
        <x:v>Ranks are live formulas over the corrected 149-bank sample. The component percentiles and composite scores were recomputed only after enforcing the $10bn-$250bn asset filter in code.</x:v>
      </x:c>
      <x:c r="D2" s="3" t="str">
        <x:v>Ranks are live formulas over the corrected 149-bank sample. The component percentiles and composite scores were recomputed only after enforcing the $10bn-$250bn asset filter in code.</x:v>
      </x:c>
      <x:c r="E2" s="3" t="str">
        <x:v>Ranks are live formulas over the corrected 149-bank sample. The component percentiles and composite scores were recomputed only after enforcing the $10bn-$250bn asset filter in code.</x:v>
      </x:c>
      <x:c r="F2" s="3" t="str">
        <x:v>Ranks are live formulas over the corrected 149-bank sample. The component percentiles and composite scores were recomputed only after enforcing the $10bn-$250bn asset filter in code.</x:v>
      </x:c>
      <x:c r="G2" s="3" t="str">
        <x:v>Ranks are live formulas over the corrected 149-bank sample. The component percentiles and composite scores were recomputed only after enforcing the $10bn-$250bn asset filter in code.</x:v>
      </x:c>
      <x:c r="H2" s="3" t="str">
        <x:v>Ranks are live formulas over the corrected 149-bank sample. The component percentiles and composite scores were recomputed only after enforcing the $10bn-$250bn asset filter in code.</x:v>
      </x:c>
      <x:c r="I2" s="3" t="str">
        <x:v>Ranks are live formulas over the corrected 149-bank sample. The component percentiles and composite scores were recomputed only after enforcing the $10bn-$250bn asset filter in code.</x:v>
      </x:c>
      <x:c r="J2" s="3" t="str">
        <x:v>Ranks are live formulas over the corrected 149-bank sample. The component percentiles and composite scores were recomputed only after enforcing the $10bn-$250bn asset filter in code.</x:v>
      </x:c>
      <x:c r="K2" t="str">
        <x:v>Ranks are live formulas over the corrected 149-bank sample. The component percentiles and composite scores were recomputed only after enforcing the $10bn-$250bn asset filter in code.</x:v>
      </x:c>
      <x:c r="L2" t="str">
        <x:v>Ranks are live formulas over the corrected 149-bank sample. The component percentiles and composite scores were recomputed only after enforcing the $10bn-$250bn asset filter in code.</x:v>
      </x:c>
    </x:row>
    <x:row r="4" ht="15" hidden="0">
      <x:c r="A4" s="19" t="str">
        <x:v>Asset cap used in code ($bn)</x:v>
      </x:c>
      <x:c r="B4" s="20" t="n">
        <x:v>250</x:v>
      </x:c>
      <x:c r="C4" s="21" t="str">
        <x:v>Fixed sample definition. Changing this cell does not recompute component percentiles.</x:v>
      </x:c>
    </x:row>
    <x:row r="5" ht="15" hidden="0">
      <x:c r="A5" s="19" t="str">
        <x:v>Banks above the cap</x:v>
      </x:c>
      <x:c r="B5" s="22" t="n">
        <x:f aca="0">COUNTIF('Peer Metrics'!$C$5:$C$153,"&gt;"&amp;$B$4)</x:f>
        <x:v>0</x:v>
      </x:c>
      <x:c r="C5" t="str">
        <x:v>Must equal zero.</x:v>
      </x:c>
    </x:row>
    <x:row r="6" ht="15" hidden="0">
      <x:c r="A6" s="19" t="str">
        <x:v>Banks in corrected sample</x:v>
      </x:c>
      <x:c r="B6" s="22" t="n">
        <x:f aca="0">COUNTA('Peer Metrics'!$A$5:$A$153)</x:f>
        <x:v>149</x:v>
      </x:c>
      <x:c r="C6" t="str">
        <x:v>Expected: 149.</x:v>
      </x:c>
    </x:row>
    <x:row r="8" ht="30" hidden="0" customHeight="1">
      <x:c r="A8" s="19" t="str">
        <x:v>Failed bank</x:v>
      </x:c>
      <x:c r="B8" s="23" t="str">
        <x:v>SILICON VALLEY BANK</x:v>
      </x:c>
      <x:c r="C8" s="23" t="str">
        <x:v>SIGNATURE BANK</x:v>
      </x:c>
      <x:c r="D8" s="23" t="str">
        <x:v>FIRST REPUBLIC BANK</x:v>
      </x:c>
    </x:row>
    <x:row r="10" ht="34" hidden="0" customHeight="1">
      <x:c r="A10" s="72" t="str">
        <x:v>Signal (direction)</x:v>
      </x:c>
      <x:c r="B10" s="73" t="str">
        <x:v>SVB rank</x:v>
      </x:c>
      <x:c r="C10" s="73" t="str">
        <x:v>Signature rank</x:v>
      </x:c>
      <x:c r="D10" s="73" t="str">
        <x:v>First Republic rank</x:v>
      </x:c>
      <x:c r="E10" s="73" t="str">
        <x:v>Banks with data</x:v>
      </x:c>
      <x:c r="F10" s="73" t="str">
        <x:v>Top-decile cutoff</x:v>
      </x:c>
      <x:c r="G10" s="73" t="str">
        <x:v>Failures captured</x:v>
      </x:c>
      <x:c r="H10" s="73" t="str">
        <x:v>Capture rate</x:v>
      </x:c>
      <x:c r="I10" s="73" t="str">
        <x:v>False positives</x:v>
      </x:c>
      <x:c r="J10" s="73" t="str">
        <x:v>Precision</x:v>
      </x:c>
      <x:c r="K10" s="53" t="str">
        <x:v>False-positive share</x:v>
      </x:c>
      <x:c r="L10" s="54" t="str">
        <x:v>Peer Metrics column</x:v>
      </x:c>
    </x:row>
    <x:row r="11" ht="27.75" hidden="0" customHeight="1">
      <x:c r="A11" s="81" t="str">
        <x:v>Trigger-augmented integrated score (higher = riskier)</x:v>
      </x:c>
      <x:c r="B11" s="81" t="n">
        <x:f aca="0">IF(ISNUMBER(INDEX('Peer Metrics'!$P$5:$P$153,MATCH(B$8,'Peer Metrics'!$A$5:$A$153,0))),1+COUNTIF('Peer Metrics'!$P$5:$P$153,"&gt;"&amp;INDEX('Peer Metrics'!$P$5:$P$153,MATCH(B$8,'Peer Metrics'!$A$5:$A$153,0))),"n.a.")</x:f>
        <x:v>5</x:v>
      </x:c>
      <x:c r="C11" s="81" t="n">
        <x:f aca="0">IF(ISNUMBER(INDEX('Peer Metrics'!$P$5:$P$153,MATCH(C$8,'Peer Metrics'!$A$5:$A$153,0))),1+COUNTIF('Peer Metrics'!$P$5:$P$153,"&gt;"&amp;INDEX('Peer Metrics'!$P$5:$P$153,MATCH(C$8,'Peer Metrics'!$A$5:$A$153,0))),"n.a.")</x:f>
        <x:v>15</x:v>
      </x:c>
      <x:c r="D11" s="81" t="n">
        <x:f aca="0">IF(ISNUMBER(INDEX('Peer Metrics'!$P$5:$P$153,MATCH(D$8,'Peer Metrics'!$A$5:$A$153,0))),1+COUNTIF('Peer Metrics'!$P$5:$P$153,"&gt;"&amp;INDEX('Peer Metrics'!$P$5:$P$153,MATCH(D$8,'Peer Metrics'!$A$5:$A$153,0))),"n.a.")</x:f>
        <x:v>10</x:v>
      </x:c>
      <x:c r="E11" s="81" t="n">
        <x:f aca="0">COUNT('Peer Metrics'!$P$5:$P$153)</x:f>
        <x:v>144</x:v>
      </x:c>
      <x:c r="F11" s="81" t="n">
        <x:f aca="0">ROUNDUP(E11*10%,0)</x:f>
        <x:v>15</x:v>
      </x:c>
      <x:c r="G11" s="81" t="n">
        <x:f aca="0">IF(B11&lt;=F11,1,0)+IF(C11&lt;=F11,1,0)+IF(D11&lt;=F11,1,0)</x:f>
        <x:v>3</x:v>
      </x:c>
      <x:c r="H11" s="82" t="n">
        <x:f aca="0">G11/3</x:f>
        <x:v>1</x:v>
      </x:c>
      <x:c r="I11" s="101" t="n">
        <x:f aca="0">F11-G11</x:f>
        <x:v>12</x:v>
      </x:c>
      <x:c r="J11" s="82" t="n">
        <x:f>IF(F11&gt;0,G11/F11,"n.a.")</x:f>
        <x:v>0.2</x:v>
      </x:c>
      <x:c r="K11" s="103" t="n">
        <x:f>IF(F11&gt;0,I11/F11,"n.a.")</x:f>
        <x:v>0.8</x:v>
      </x:c>
      <x:c r="L11" s="59" t="str">
        <x:v>P</x:v>
      </x:c>
    </x:row>
    <x:row r="12" ht="27.75" hidden="0" customHeight="1">
      <x:c r="A12" s="81" t="str">
        <x:v>Baseline weighted score (higher = riskier)</x:v>
      </x:c>
      <x:c r="B12" s="81" t="n">
        <x:f aca="0">IF(ISNUMBER(INDEX('Peer Metrics'!$N$5:$N$153,MATCH(B$8,'Peer Metrics'!$A$5:$A$153,0))),1+COUNTIF('Peer Metrics'!$N$5:$N$153,"&gt;"&amp;INDEX('Peer Metrics'!$N$5:$N$153,MATCH(B$8,'Peer Metrics'!$A$5:$A$153,0))),"n.a.")</x:f>
        <x:v>4</x:v>
      </x:c>
      <x:c r="C12" s="81" t="n">
        <x:f aca="0">IF(ISNUMBER(INDEX('Peer Metrics'!$N$5:$N$153,MATCH(C$8,'Peer Metrics'!$A$5:$A$153,0))),1+COUNTIF('Peer Metrics'!$N$5:$N$153,"&gt;"&amp;INDEX('Peer Metrics'!$N$5:$N$153,MATCH(C$8,'Peer Metrics'!$A$5:$A$153,0))),"n.a.")</x:f>
        <x:v>27</x:v>
      </x:c>
      <x:c r="D12" s="81" t="n">
        <x:f aca="0">IF(ISNUMBER(INDEX('Peer Metrics'!$N$5:$N$153,MATCH(D$8,'Peer Metrics'!$A$5:$A$153,0))),1+COUNTIF('Peer Metrics'!$N$5:$N$153,"&gt;"&amp;INDEX('Peer Metrics'!$N$5:$N$153,MATCH(D$8,'Peer Metrics'!$A$5:$A$153,0))),"n.a.")</x:f>
        <x:v>28</x:v>
      </x:c>
      <x:c r="E12" s="81" t="n">
        <x:f aca="0">COUNT('Peer Metrics'!$N$5:$N$153)</x:f>
        <x:v>144</x:v>
      </x:c>
      <x:c r="F12" s="81" t="n">
        <x:f aca="0">ROUNDUP(E12*10%,0)</x:f>
        <x:v>15</x:v>
      </x:c>
      <x:c r="G12" s="81" t="n">
        <x:f aca="0">IF(B12&lt;=F12,1,0)+IF(C12&lt;=F12,1,0)+IF(D12&lt;=F12,1,0)</x:f>
        <x:v>1</x:v>
      </x:c>
      <x:c r="H12" s="82" t="n">
        <x:f aca="0">G12/3</x:f>
        <x:v>0.3333333333333333</x:v>
      </x:c>
      <x:c r="I12" s="101" t="n">
        <x:f aca="0">F12-G12</x:f>
        <x:v>14</x:v>
      </x:c>
      <x:c r="J12" s="82" t="n">
        <x:f>IF(F12&gt;0,G12/F12,"n.a.")</x:f>
        <x:v>0.06666666666666667</x:v>
      </x:c>
      <x:c r="K12" s="103" t="n">
        <x:f>IF(F12&gt;0,I12/F12,"n.a.")</x:f>
        <x:v>0.9333333333333333</x:v>
      </x:c>
      <x:c r="L12" s="59" t="str">
        <x:v>N</x:v>
      </x:c>
    </x:row>
    <x:row r="13" ht="27.75" hidden="0" customHeight="1">
      <x:c r="A13" s="81" t="str">
        <x:v>Uninsured deposits / deposits (higher = riskier)</x:v>
      </x:c>
      <x:c r="B13" s="81" t="n">
        <x:f aca="0">IF(ISNUMBER(INDEX('Peer Metrics'!$H$5:$H$153,MATCH(B$8,'Peer Metrics'!$A$5:$A$153,0))),1+COUNTIF('Peer Metrics'!$H$5:$H$153,"&gt;"&amp;INDEX('Peer Metrics'!$H$5:$H$153,MATCH(B$8,'Peer Metrics'!$A$5:$A$153,0))),"n.a.")</x:f>
        <x:v>3</x:v>
      </x:c>
      <x:c r="C13" s="81" t="n">
        <x:f aca="0">IF(ISNUMBER(INDEX('Peer Metrics'!$H$5:$H$153,MATCH(C$8,'Peer Metrics'!$A$5:$A$153,0))),1+COUNTIF('Peer Metrics'!$H$5:$H$153,"&gt;"&amp;INDEX('Peer Metrics'!$H$5:$H$153,MATCH(C$8,'Peer Metrics'!$A$5:$A$153,0))),"n.a.")</x:f>
        <x:v>2</x:v>
      </x:c>
      <x:c r="D13" s="81" t="n">
        <x:f aca="0">IF(ISNUMBER(INDEX('Peer Metrics'!$H$5:$H$153,MATCH(D$8,'Peer Metrics'!$A$5:$A$153,0))),1+COUNTIF('Peer Metrics'!$H$5:$H$153,"&gt;"&amp;INDEX('Peer Metrics'!$H$5:$H$153,MATCH(D$8,'Peer Metrics'!$A$5:$A$153,0))),"n.a.")</x:f>
        <x:v>8</x:v>
      </x:c>
      <x:c r="E13" s="81" t="n">
        <x:f aca="0">COUNT('Peer Metrics'!$H$5:$H$153)</x:f>
        <x:v>149</x:v>
      </x:c>
      <x:c r="F13" s="81" t="n">
        <x:f aca="0">ROUNDUP(E13*10%,0)</x:f>
        <x:v>15</x:v>
      </x:c>
      <x:c r="G13" s="81" t="n">
        <x:f aca="0">IF(B13&lt;=F13,1,0)+IF(C13&lt;=F13,1,0)+IF(D13&lt;=F13,1,0)</x:f>
        <x:v>3</x:v>
      </x:c>
      <x:c r="H13" s="82" t="n">
        <x:f aca="0">G13/3</x:f>
        <x:v>1</x:v>
      </x:c>
      <x:c r="I13" s="101" t="n">
        <x:f aca="0">F13-G13</x:f>
        <x:v>12</x:v>
      </x:c>
      <x:c r="J13" s="82" t="n">
        <x:f>IF(F13&gt;0,G13/F13,"n.a.")</x:f>
        <x:v>0.2</x:v>
      </x:c>
      <x:c r="K13" s="103" t="n">
        <x:f>IF(F13&gt;0,I13/F13,"n.a.")</x:f>
        <x:v>0.8</x:v>
      </x:c>
      <x:c r="L13" s="59" t="str">
        <x:v>H</x:v>
      </x:c>
    </x:row>
    <x:row r="14" ht="27.75" hidden="0" customHeight="1">
      <x:c r="A14" s="81" t="str">
        <x:v>Securities MTM gap / equity (higher = riskier)</x:v>
      </x:c>
      <x:c r="B14" s="81" t="n">
        <x:f aca="0">IF(ISNUMBER(INDEX('Peer Metrics'!$G$5:$G$153,MATCH(B$8,'Peer Metrics'!$A$5:$A$153,0))),1+COUNTIF('Peer Metrics'!$G$5:$G$153,"&gt;"&amp;INDEX('Peer Metrics'!$G$5:$G$153,MATCH(B$8,'Peer Metrics'!$A$5:$A$153,0))),"n.a.")</x:f>
        <x:v>4</x:v>
      </x:c>
      <x:c r="C14" s="81" t="n">
        <x:f aca="0">IF(ISNUMBER(INDEX('Peer Metrics'!$G$5:$G$153,MATCH(C$8,'Peer Metrics'!$A$5:$A$153,0))),1+COUNTIF('Peer Metrics'!$G$5:$G$153,"&gt;"&amp;INDEX('Peer Metrics'!$G$5:$G$153,MATCH(C$8,'Peer Metrics'!$A$5:$A$153,0))),"n.a.")</x:f>
        <x:v>40</x:v>
      </x:c>
      <x:c r="D14" s="81" t="n">
        <x:f aca="0">IF(ISNUMBER(INDEX('Peer Metrics'!$G$5:$G$153,MATCH(D$8,'Peer Metrics'!$A$5:$A$153,0))),1+COUNTIF('Peer Metrics'!$G$5:$G$153,"&gt;"&amp;INDEX('Peer Metrics'!$G$5:$G$153,MATCH(D$8,'Peer Metrics'!$A$5:$A$153,0))),"n.a.")</x:f>
        <x:v>10</x:v>
      </x:c>
      <x:c r="E14" s="81" t="n">
        <x:f aca="0">COUNT('Peer Metrics'!$G$5:$G$153)</x:f>
        <x:v>145</x:v>
      </x:c>
      <x:c r="F14" s="81" t="n">
        <x:f aca="0">ROUNDUP(E14*10%,0)</x:f>
        <x:v>15</x:v>
      </x:c>
      <x:c r="G14" s="81" t="n">
        <x:f aca="0">IF(B14&lt;=F14,1,0)+IF(C14&lt;=F14,1,0)+IF(D14&lt;=F14,1,0)</x:f>
        <x:v>2</x:v>
      </x:c>
      <x:c r="H14" s="82" t="n">
        <x:f aca="0">G14/3</x:f>
        <x:v>0.6666666666666666</x:v>
      </x:c>
      <x:c r="I14" s="101" t="n">
        <x:f aca="0">F14-G14</x:f>
        <x:v>13</x:v>
      </x:c>
      <x:c r="J14" s="82" t="n">
        <x:f>IF(F14&gt;0,G14/F14,"n.a.")</x:f>
        <x:v>0.13333333333333333</x:v>
      </x:c>
      <x:c r="K14" s="103" t="n">
        <x:f>IF(F14&gt;0,I14/F14,"n.a.")</x:f>
        <x:v>0.8666666666666667</x:v>
      </x:c>
      <x:c r="L14" s="59" t="str">
        <x:v>G</x:v>
      </x:c>
    </x:row>
    <x:row r="15" ht="27.75" hidden="0" customHeight="1">
      <x:c r="A15" s="81" t="str">
        <x:v>Securities / assets (higher = riskier)</x:v>
      </x:c>
      <x:c r="B15" s="81" t="n">
        <x:f aca="0">IF(ISNUMBER(INDEX('Peer Metrics'!$F$5:$F$153,MATCH(B$8,'Peer Metrics'!$A$5:$A$153,0))),1+COUNTIF('Peer Metrics'!$F$5:$F$153,"&gt;"&amp;INDEX('Peer Metrics'!$F$5:$F$153,MATCH(B$8,'Peer Metrics'!$A$5:$A$153,0))),"n.a.")</x:f>
        <x:v>6</x:v>
      </x:c>
      <x:c r="C15" s="81" t="n">
        <x:f aca="0">IF(ISNUMBER(INDEX('Peer Metrics'!$F$5:$F$153,MATCH(C$8,'Peer Metrics'!$A$5:$A$153,0))),1+COUNTIF('Peer Metrics'!$F$5:$F$153,"&gt;"&amp;INDEX('Peer Metrics'!$F$5:$F$153,MATCH(C$8,'Peer Metrics'!$A$5:$A$153,0))),"n.a.")</x:f>
        <x:v>52</x:v>
      </x:c>
      <x:c r="D15" s="81" t="n">
        <x:f aca="0">IF(ISNUMBER(INDEX('Peer Metrics'!$F$5:$F$153,MATCH(D$8,'Peer Metrics'!$A$5:$A$153,0))),1+COUNTIF('Peer Metrics'!$F$5:$F$153,"&gt;"&amp;INDEX('Peer Metrics'!$F$5:$F$153,MATCH(D$8,'Peer Metrics'!$A$5:$A$153,0))),"n.a.")</x:f>
        <x:v>102</x:v>
      </x:c>
      <x:c r="E15" s="81" t="n">
        <x:f aca="0">COUNT('Peer Metrics'!$F$5:$F$153)</x:f>
        <x:v>149</x:v>
      </x:c>
      <x:c r="F15" s="81" t="n">
        <x:f aca="0">ROUNDUP(E15*10%,0)</x:f>
        <x:v>15</x:v>
      </x:c>
      <x:c r="G15" s="81" t="n">
        <x:f aca="0">IF(B15&lt;=F15,1,0)+IF(C15&lt;=F15,1,0)+IF(D15&lt;=F15,1,0)</x:f>
        <x:v>1</x:v>
      </x:c>
      <x:c r="H15" s="82" t="n">
        <x:f aca="0">G15/3</x:f>
        <x:v>0.3333333333333333</x:v>
      </x:c>
      <x:c r="I15" s="101" t="n">
        <x:f aca="0">F15-G15</x:f>
        <x:v>14</x:v>
      </x:c>
      <x:c r="J15" s="82" t="n">
        <x:f>IF(F15&gt;0,G15/F15,"n.a.")</x:f>
        <x:v>0.06666666666666667</x:v>
      </x:c>
      <x:c r="K15" s="103" t="n">
        <x:f>IF(F15&gt;0,I15/F15,"n.a.")</x:f>
        <x:v>0.9333333333333333</x:v>
      </x:c>
      <x:c r="L15" s="59" t="str">
        <x:v>F</x:v>
      </x:c>
    </x:row>
    <x:row r="16" ht="27.75" hidden="0" customHeight="1">
      <x:c r="A16" s="81" t="str">
        <x:v>Noncurrent loans / loans (higher = riskier)</x:v>
      </x:c>
      <x:c r="B16" s="81" t="n">
        <x:f aca="0">IF(ISNUMBER(INDEX('Peer Metrics'!$I$5:$I$153,MATCH(B$8,'Peer Metrics'!$A$5:$A$153,0))),1+COUNTIF('Peer Metrics'!$I$5:$I$153,"&gt;"&amp;INDEX('Peer Metrics'!$I$5:$I$153,MATCH(B$8,'Peer Metrics'!$A$5:$A$153,0))),"n.a.")</x:f>
        <x:v>117</x:v>
      </x:c>
      <x:c r="C16" s="81" t="n">
        <x:f aca="0">IF(ISNUMBER(INDEX('Peer Metrics'!$I$5:$I$153,MATCH(C$8,'Peer Metrics'!$A$5:$A$153,0))),1+COUNTIF('Peer Metrics'!$I$5:$I$153,"&gt;"&amp;INDEX('Peer Metrics'!$I$5:$I$153,MATCH(C$8,'Peer Metrics'!$A$5:$A$153,0))),"n.a.")</x:f>
        <x:v>87</x:v>
      </x:c>
      <x:c r="D16" s="81" t="n">
        <x:f aca="0">IF(ISNUMBER(INDEX('Peer Metrics'!$I$5:$I$153,MATCH(D$8,'Peer Metrics'!$A$5:$A$153,0))),1+COUNTIF('Peer Metrics'!$I$5:$I$153,"&gt;"&amp;INDEX('Peer Metrics'!$I$5:$I$153,MATCH(D$8,'Peer Metrics'!$A$5:$A$153,0))),"n.a.")</x:f>
        <x:v>135</x:v>
      </x:c>
      <x:c r="E16" s="81" t="n">
        <x:f aca="0">COUNT('Peer Metrics'!$I$5:$I$153)</x:f>
        <x:v>148</x:v>
      </x:c>
      <x:c r="F16" s="81" t="n">
        <x:f aca="0">ROUNDUP(E16*10%,0)</x:f>
        <x:v>15</x:v>
      </x:c>
      <x:c r="G16" s="81" t="n">
        <x:f aca="0">IF(B16&lt;=F16,1,0)+IF(C16&lt;=F16,1,0)+IF(D16&lt;=F16,1,0)</x:f>
        <x:v>0</x:v>
      </x:c>
      <x:c r="H16" s="82" t="n">
        <x:f aca="0">G16/3</x:f>
        <x:v>0</x:v>
      </x:c>
      <x:c r="I16" s="101" t="n">
        <x:f aca="0">F16-G16</x:f>
        <x:v>15</x:v>
      </x:c>
      <x:c r="J16" s="82" t="n">
        <x:f>IF(F16&gt;0,G16/F16,"n.a.")</x:f>
        <x:v>0</x:v>
      </x:c>
      <x:c r="K16" s="103" t="n">
        <x:f>IF(F16&gt;0,I16/F16,"n.a.")</x:f>
        <x:v>1</x:v>
      </x:c>
      <x:c r="L16" s="59" t="str">
        <x:v>I</x:v>
      </x:c>
    </x:row>
    <x:row r="17" ht="27.75" hidden="0" customHeight="1">
      <x:c r="A17" s="81" t="str">
        <x:v>Capital / assets (lower = riskier)</x:v>
      </x:c>
      <x:c r="B17" s="81" t="n">
        <x:f aca="0">IF(ISNUMBER(INDEX('Peer Metrics'!$D$5:$D$153,MATCH(B$8,'Peer Metrics'!$A$5:$A$153,0))),1+COUNTIF('Peer Metrics'!$D$5:$D$153,"&lt;"&amp;INDEX('Peer Metrics'!$D$5:$D$153,MATCH(B$8,'Peer Metrics'!$A$5:$A$153,0))),"n.a.")</x:f>
        <x:v>28</x:v>
      </x:c>
      <x:c r="C17" s="81" t="n">
        <x:f aca="0">IF(ISNUMBER(INDEX('Peer Metrics'!$D$5:$D$153,MATCH(C$8,'Peer Metrics'!$A$5:$A$153,0))),1+COUNTIF('Peer Metrics'!$D$5:$D$153,"&lt;"&amp;INDEX('Peer Metrics'!$D$5:$D$153,MATCH(C$8,'Peer Metrics'!$A$5:$A$153,0))),"n.a.")</x:f>
        <x:v>26</x:v>
      </x:c>
      <x:c r="D17" s="81" t="n">
        <x:f aca="0">IF(ISNUMBER(INDEX('Peer Metrics'!$D$5:$D$153,MATCH(D$8,'Peer Metrics'!$A$5:$A$153,0))),1+COUNTIF('Peer Metrics'!$D$5:$D$153,"&lt;"&amp;INDEX('Peer Metrics'!$D$5:$D$153,MATCH(D$8,'Peer Metrics'!$A$5:$A$153,0))),"n.a.")</x:f>
        <x:v>41</x:v>
      </x:c>
      <x:c r="E17" s="81" t="n">
        <x:f aca="0">COUNT('Peer Metrics'!$D$5:$D$153)</x:f>
        <x:v>145</x:v>
      </x:c>
      <x:c r="F17" s="81" t="n">
        <x:f aca="0">ROUNDUP(E17*10%,0)</x:f>
        <x:v>15</x:v>
      </x:c>
      <x:c r="G17" s="81" t="n">
        <x:f aca="0">IF(B17&lt;=F17,1,0)+IF(C17&lt;=F17,1,0)+IF(D17&lt;=F17,1,0)</x:f>
        <x:v>0</x:v>
      </x:c>
      <x:c r="H17" s="82" t="n">
        <x:f aca="0">G17/3</x:f>
        <x:v>0</x:v>
      </x:c>
      <x:c r="I17" s="101" t="n">
        <x:f aca="0">F17-G17</x:f>
        <x:v>15</x:v>
      </x:c>
      <x:c r="J17" s="82" t="n">
        <x:f>IF(F17&gt;0,G17/F17,"n.a.")</x:f>
        <x:v>0</x:v>
      </x:c>
      <x:c r="K17" s="103" t="n">
        <x:f>IF(F17&gt;0,I17/F17,"n.a.")</x:f>
        <x:v>1</x:v>
      </x:c>
      <x:c r="L17" s="59" t="str">
        <x:v>D</x:v>
      </x:c>
    </x:row>
    <x:row r="18" ht="27.75" hidden="0" customHeight="1">
      <x:c r="A18" s="83" t="str">
        <x:v>Cash / assets (lower = riskier)</x:v>
      </x:c>
      <x:c r="B18" s="83" t="n">
        <x:f aca="0">IF(ISNUMBER(INDEX('Peer Metrics'!$E$5:$E$153,MATCH(B$8,'Peer Metrics'!$A$5:$A$153,0))),1+COUNTIF('Peer Metrics'!$E$5:$E$153,"&lt;"&amp;INDEX('Peer Metrics'!$E$5:$E$153,MATCH(B$8,'Peer Metrics'!$A$5:$A$153,0))),"n.a.")</x:f>
        <x:v>107</x:v>
      </x:c>
      <x:c r="C18" s="83" t="n">
        <x:f aca="0">IF(ISNUMBER(INDEX('Peer Metrics'!$E$5:$E$153,MATCH(C$8,'Peer Metrics'!$A$5:$A$153,0))),1+COUNTIF('Peer Metrics'!$E$5:$E$153,"&lt;"&amp;INDEX('Peer Metrics'!$E$5:$E$153,MATCH(C$8,'Peer Metrics'!$A$5:$A$153,0))),"n.a.")</x:f>
        <x:v>102</x:v>
      </x:c>
      <x:c r="D18" s="83" t="n">
        <x:f aca="0">IF(ISNUMBER(INDEX('Peer Metrics'!$E$5:$E$153,MATCH(D$8,'Peer Metrics'!$A$5:$A$153,0))),1+COUNTIF('Peer Metrics'!$E$5:$E$153,"&lt;"&amp;INDEX('Peer Metrics'!$E$5:$E$153,MATCH(D$8,'Peer Metrics'!$A$5:$A$153,0))),"n.a.")</x:f>
        <x:v>37</x:v>
      </x:c>
      <x:c r="E18" s="83" t="n">
        <x:f aca="0">COUNT('Peer Metrics'!$E$5:$E$153)</x:f>
        <x:v>149</x:v>
      </x:c>
      <x:c r="F18" s="83" t="n">
        <x:f aca="0">ROUNDUP(E18*10%,0)</x:f>
        <x:v>15</x:v>
      </x:c>
      <x:c r="G18" s="83" t="n">
        <x:f aca="0">IF(B18&lt;=F18,1,0)+IF(C18&lt;=F18,1,0)+IF(D18&lt;=F18,1,0)</x:f>
        <x:v>0</x:v>
      </x:c>
      <x:c r="H18" s="84" t="n">
        <x:f aca="0">G18/3</x:f>
        <x:v>0</x:v>
      </x:c>
      <x:c r="I18" s="102" t="n">
        <x:f aca="0">F18-G18</x:f>
        <x:v>15</x:v>
      </x:c>
      <x:c r="J18" s="84" t="n">
        <x:f>IF(F18&gt;0,G18/F18,"n.a.")</x:f>
        <x:v>0</x:v>
      </x:c>
      <x:c r="K18" s="104" t="n">
        <x:f>IF(F18&gt;0,I18/F18,"n.a.")</x:f>
        <x:v>1</x:v>
      </x:c>
      <x:c r="L18" s="61" t="str">
        <x:v>E</x:v>
      </x:c>
    </x:row>
    <x:row r="20" ht="15" hidden="0">
      <x:c r="A20" s="97" t="str">
        <x:v>Stressed survivors in spring 2023 (secondary diagnostic, anonymized for filing)</x:v>
      </x:c>
      <x:c r="B20" s="98" t="str">
        <x:v>Stressed survivors in spring 2023 (secondary diagnostic, anonymized for filing)</x:v>
      </x:c>
      <x:c r="C20" s="98" t="str">
        <x:v>Stressed survivors in spring 2023 (secondary diagnostic, anonymized for filing)</x:v>
      </x:c>
      <x:c r="D20" s="98" t="str">
        <x:v>Stressed survivors in spring 2023 (secondary diagnostic, anonymized for filing)</x:v>
      </x:c>
      <x:c r="E20" s="98" t="str">
        <x:v>Stressed survivors in spring 2023 (secondary diagnostic, anonymized for filing)</x:v>
      </x:c>
      <x:c r="F20" s="98" t="str">
        <x:v>Stressed survivors in spring 2023 (secondary diagnostic, anonymized for filing)</x:v>
      </x:c>
      <x:c r="G20" s="98" t="str">
        <x:v>Stressed survivors in spring 2023 (secondary diagnostic, anonymized for filing)</x:v>
      </x:c>
      <x:c r="H20" s="98" t="str">
        <x:v>Stressed survivors in spring 2023 (secondary diagnostic, anonymized for filing)</x:v>
      </x:c>
      <x:c r="I20" s="98" t="str">
        <x:v>Stressed survivors in spring 2023 (secondary diagnostic, anonymized for filing)</x:v>
      </x:c>
      <x:c r="J20" s="98" t="str">
        <x:v>Stressed survivors in spring 2023 (secondary diagnostic, anonymized for filing)</x:v>
      </x:c>
      <x:c r="K20" s="99" t="str">
        <x:v>Stressed survivors in spring 2023 (secondary diagnostic, anonymized for filing)</x:v>
      </x:c>
      <x:c r="L20" s="100" t="str">
        <x:v>Stressed survivors in spring 2023 (secondary diagnostic, anonymized for filing)</x:v>
      </x:c>
    </x:row>
    <x:row r="21" ht="34" hidden="0" customHeight="1">
      <x:c r="A21" s="72" t="str">
        <x:v>Peer label</x:v>
      </x:c>
      <x:c r="B21" s="73" t="str">
        <x:v>Trigger score rank</x:v>
      </x:c>
      <x:c r="C21" s="73" t="str">
        <x:v>Uninsured-deposit rank</x:v>
      </x:c>
      <x:c r="D21" s="73" t="str">
        <x:v>Top-decile trigger</x:v>
      </x:c>
      <x:c r="E21" s="73" t="str">
        <x:v>Banks with trigger data</x:v>
      </x:c>
      <x:c r="F21" s="76" t="str">
        <x:v>Above trigger-score median</x:v>
      </x:c>
      <x:c r="G21" s="105"/>
      <x:c r="H21" s="105"/>
      <x:c r="I21" s="105"/>
      <x:c r="J21" s="105"/>
      <x:c r="K21" s="106"/>
      <x:c r="L21" s="106"/>
    </x:row>
    <x:row r="22" ht="15" hidden="0">
      <x:c r="A22" s="89" t="str">
        <x:v>Stressed Peer B</x:v>
      </x:c>
      <x:c r="B22" s="89" t="n">
        <x:f aca="0">IF(ISNUMBER(INDEX('Peer Metrics'!$P$5:$P$153,MATCH($A22,'Peer Metrics'!$A$5:$A$153,0))),1+COUNTIF('Peer Metrics'!$P$5:$P$153,"&gt;"&amp;INDEX('Peer Metrics'!$P$5:$P$153,MATCH($A22,'Peer Metrics'!$A$5:$A$153,0))),"n.a.")</x:f>
        <x:v>21</x:v>
      </x:c>
      <x:c r="C22" s="89" t="n">
        <x:f aca="0">IF(ISNUMBER(INDEX('Peer Metrics'!$H$5:$H$153,MATCH($A22,'Peer Metrics'!$A$5:$A$153,0))),1+COUNTIF('Peer Metrics'!$H$5:$H$153,"&gt;"&amp;INDEX('Peer Metrics'!$H$5:$H$153,MATCH($A22,'Peer Metrics'!$A$5:$A$153,0))),"n.a.")</x:f>
        <x:v>26</x:v>
      </x:c>
      <x:c r="D22" s="89" t="str">
        <x:f aca="0">IF(B22&lt;=$F$11,"Yes","No")</x:f>
        <x:v>No</x:v>
      </x:c>
      <x:c r="E22" s="90" t="n">
        <x:f>$E$11</x:f>
        <x:v>144</x:v>
      </x:c>
      <x:c r="F22" s="90" t="str">
        <x:f>IF(B22&lt;=ROUNDUP($E$11/2,0),"Yes","No")</x:f>
        <x:v>Yes</x:v>
      </x:c>
      <x:c r="G22" s="107"/>
      <x:c r="H22" s="107"/>
      <x:c r="I22" s="107"/>
      <x:c r="J22" s="107"/>
      <x:c r="K22" s="106"/>
      <x:c r="L22" s="106"/>
    </x:row>
    <x:row r="23" ht="15" hidden="0">
      <x:c r="A23" s="89" t="str">
        <x:v>Stressed Peer E</x:v>
      </x:c>
      <x:c r="B23" s="89" t="n">
        <x:f aca="0">IF(ISNUMBER(INDEX('Peer Metrics'!$P$5:$P$153,MATCH($A23,'Peer Metrics'!$A$5:$A$153,0))),1+COUNTIF('Peer Metrics'!$P$5:$P$153,"&gt;"&amp;INDEX('Peer Metrics'!$P$5:$P$153,MATCH($A23,'Peer Metrics'!$A$5:$A$153,0))),"n.a.")</x:f>
        <x:v>25</x:v>
      </x:c>
      <x:c r="C23" s="89" t="n">
        <x:f aca="0">IF(ISNUMBER(INDEX('Peer Metrics'!$H$5:$H$153,MATCH($A23,'Peer Metrics'!$A$5:$A$153,0))),1+COUNTIF('Peer Metrics'!$H$5:$H$153,"&gt;"&amp;INDEX('Peer Metrics'!$H$5:$H$153,MATCH($A23,'Peer Metrics'!$A$5:$A$153,0))),"n.a.")</x:f>
        <x:v>39</x:v>
      </x:c>
      <x:c r="D23" s="89" t="str">
        <x:f aca="0">IF(B23&lt;=$F$11,"Yes","No")</x:f>
        <x:v>No</x:v>
      </x:c>
      <x:c r="E23" s="90" t="n">
        <x:f>$E$11</x:f>
        <x:v>144</x:v>
      </x:c>
      <x:c r="F23" s="90" t="str">
        <x:f>IF(B23&lt;=ROUNDUP($E$11/2,0),"Yes","No")</x:f>
        <x:v>Yes</x:v>
      </x:c>
      <x:c r="G23" s="107"/>
      <x:c r="H23" s="107"/>
      <x:c r="I23" s="107"/>
      <x:c r="J23" s="107"/>
      <x:c r="K23" s="106"/>
      <x:c r="L23" s="106"/>
    </x:row>
    <x:row r="24" ht="15" hidden="0">
      <x:c r="A24" s="89" t="str">
        <x:v>Stressed Peer D</x:v>
      </x:c>
      <x:c r="B24" s="89" t="n">
        <x:f aca="0">IF(ISNUMBER(INDEX('Peer Metrics'!$P$5:$P$153,MATCH($A24,'Peer Metrics'!$A$5:$A$153,0))),1+COUNTIF('Peer Metrics'!$P$5:$P$153,"&gt;"&amp;INDEX('Peer Metrics'!$P$5:$P$153,MATCH($A24,'Peer Metrics'!$A$5:$A$153,0))),"n.a.")</x:f>
        <x:v>32</x:v>
      </x:c>
      <x:c r="C24" s="89" t="n">
        <x:f aca="0">IF(ISNUMBER(INDEX('Peer Metrics'!$H$5:$H$153,MATCH($A24,'Peer Metrics'!$A$5:$A$153,0))),1+COUNTIF('Peer Metrics'!$H$5:$H$153,"&gt;"&amp;INDEX('Peer Metrics'!$H$5:$H$153,MATCH($A24,'Peer Metrics'!$A$5:$A$153,0))),"n.a.")</x:f>
        <x:v>49</x:v>
      </x:c>
      <x:c r="D24" s="89" t="str">
        <x:f aca="0">IF(B24&lt;=$F$11,"Yes","No")</x:f>
        <x:v>No</x:v>
      </x:c>
      <x:c r="E24" s="90" t="n">
        <x:f>$E$11</x:f>
        <x:v>144</x:v>
      </x:c>
      <x:c r="F24" s="90" t="str">
        <x:f>IF(B24&lt;=ROUNDUP($E$11/2,0),"Yes","No")</x:f>
        <x:v>Yes</x:v>
      </x:c>
      <x:c r="G24" s="107"/>
      <x:c r="H24" s="107"/>
      <x:c r="I24" s="107"/>
      <x:c r="J24" s="107"/>
      <x:c r="K24" s="106"/>
      <x:c r="L24" s="106"/>
    </x:row>
    <x:row r="25" ht="15" hidden="0">
      <x:c r="A25" s="89" t="str">
        <x:v>Stressed Peer C</x:v>
      </x:c>
      <x:c r="B25" s="89" t="n">
        <x:f aca="0">IF(ISNUMBER(INDEX('Peer Metrics'!$P$5:$P$153,MATCH($A25,'Peer Metrics'!$A$5:$A$153,0))),1+COUNTIF('Peer Metrics'!$P$5:$P$153,"&gt;"&amp;INDEX('Peer Metrics'!$P$5:$P$153,MATCH($A25,'Peer Metrics'!$A$5:$A$153,0))),"n.a.")</x:f>
        <x:v>33</x:v>
      </x:c>
      <x:c r="C25" s="89" t="n">
        <x:f aca="0">IF(ISNUMBER(INDEX('Peer Metrics'!$H$5:$H$153,MATCH($A25,'Peer Metrics'!$A$5:$A$153,0))),1+COUNTIF('Peer Metrics'!$H$5:$H$153,"&gt;"&amp;INDEX('Peer Metrics'!$H$5:$H$153,MATCH($A25,'Peer Metrics'!$A$5:$A$153,0))),"n.a.")</x:f>
        <x:v>15</x:v>
      </x:c>
      <x:c r="D25" s="89" t="str">
        <x:f aca="0">IF(B25&lt;=$F$11,"Yes","No")</x:f>
        <x:v>No</x:v>
      </x:c>
      <x:c r="E25" s="90" t="n">
        <x:f>$E$11</x:f>
        <x:v>144</x:v>
      </x:c>
      <x:c r="F25" s="90" t="str">
        <x:f>IF(B25&lt;=ROUNDUP($E$11/2,0),"Yes","No")</x:f>
        <x:v>Yes</x:v>
      </x:c>
      <x:c r="G25" s="107"/>
      <x:c r="H25" s="107"/>
      <x:c r="I25" s="107"/>
      <x:c r="J25" s="107"/>
      <x:c r="K25" s="106"/>
      <x:c r="L25" s="106"/>
    </x:row>
    <x:row r="26" ht="15" hidden="0">
      <x:c r="A26" s="91" t="str">
        <x:v>Stressed Peer A</x:v>
      </x:c>
      <x:c r="B26" s="91" t="n">
        <x:f aca="0">IF(ISNUMBER(INDEX('Peer Metrics'!$P$5:$P$153,MATCH($A26,'Peer Metrics'!$A$5:$A$153,0))),1+COUNTIF('Peer Metrics'!$P$5:$P$153,"&gt;"&amp;INDEX('Peer Metrics'!$P$5:$P$153,MATCH($A26,'Peer Metrics'!$A$5:$A$153,0))),"n.a.")</x:f>
        <x:v>75</x:v>
      </x:c>
      <x:c r="C26" s="91" t="n">
        <x:f aca="0">IF(ISNUMBER(INDEX('Peer Metrics'!$H$5:$H$153,MATCH($A26,'Peer Metrics'!$A$5:$A$153,0))),1+COUNTIF('Peer Metrics'!$H$5:$H$153,"&gt;"&amp;INDEX('Peer Metrics'!$H$5:$H$153,MATCH($A26,'Peer Metrics'!$A$5:$A$153,0))),"n.a.")</x:f>
        <x:v>47</x:v>
      </x:c>
      <x:c r="D26" s="91" t="str">
        <x:f aca="0">IF(B26&lt;=$F$11,"Yes","No")</x:f>
        <x:v>No</x:v>
      </x:c>
      <x:c r="E26" s="92" t="n">
        <x:f>$E$11</x:f>
        <x:v>144</x:v>
      </x:c>
      <x:c r="F26" s="92" t="str">
        <x:f>IF(B26&lt;=ROUNDUP($E$11/2,0),"Yes","No")</x:f>
        <x:v>No</x:v>
      </x:c>
      <x:c r="G26" s="107"/>
      <x:c r="H26" s="107"/>
      <x:c r="I26" s="107"/>
      <x:c r="J26" s="107"/>
      <x:c r="K26" s="106"/>
      <x:c r="L26" s="106"/>
    </x:row>
    <x:row r="29" ht="15" hidden="0">
      <x:c r="A29" s="97" t="str">
        <x:v>How to read this</x:v>
      </x:c>
      <x:c r="B29" s="98" t="str">
        <x:v>How to read this</x:v>
      </x:c>
      <x:c r="C29" s="98" t="str">
        <x:v>How to read this</x:v>
      </x:c>
      <x:c r="D29" s="98" t="str">
        <x:v>How to read this</x:v>
      </x:c>
      <x:c r="E29" s="98" t="str">
        <x:v>How to read this</x:v>
      </x:c>
      <x:c r="F29" s="98" t="str">
        <x:v>How to read this</x:v>
      </x:c>
      <x:c r="G29" s="98" t="str">
        <x:v>How to read this</x:v>
      </x:c>
      <x:c r="H29" s="98" t="str">
        <x:v>How to read this</x:v>
      </x:c>
      <x:c r="I29" s="98" t="str">
        <x:v>How to read this</x:v>
      </x:c>
      <x:c r="J29" s="98" t="str">
        <x:v>How to read this</x:v>
      </x:c>
      <x:c r="K29" s="99" t="str">
        <x:v>How to read this</x:v>
      </x:c>
      <x:c r="L29" s="100" t="str">
        <x:v>How to read this</x:v>
      </x:c>
    </x:row>
    <x:row r="30" ht="72" hidden="0" customHeight="1">
      <x:c r="A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B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C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D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E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F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G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H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I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J30" s="108"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K30" s="109"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c r="L30" s="109" t="str">
        <x:v>The corrected trigger score flags all three failures and 12 nonfailures in the top 15, so precision is 20% and the false-positive share is 80%. Uninsured-deposit concentration alone also captures all three failures, so this 2023 episode does not show that integration adds value. Four of five stressed survivors rank above the trigger-score median, but none is in the top decile. Stressed Peer A ranks 75th of 144 banks with complete trigger scores. These are exploratory, in-sample diagnostics.</x:v>
      </x:c>
    </x:row>
  </x:sheetData>
  <x:mergeCells>
    <x:mergeCell ref="A1:L1"/>
    <x:mergeCell ref="A2:L2"/>
    <x:mergeCell ref="A20:L20"/>
    <x:mergeCell ref="A29:L29"/>
    <x:mergeCell ref="A30:L3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796875" defaultRowHeight="15"/>
  <x:cols>
    <x:col min="1" max="1" width="6" style="1" hidden="0" customWidth="1"/>
    <x:col min="2" max="2" width="34" style="1" hidden="0" customWidth="1"/>
    <x:col min="3" max="3" width="60" style="1" hidden="0" customWidth="1"/>
    <x:col min="4" max="4" width="46" style="1" hidden="0" customWidth="1"/>
  </x:cols>
  <x:sheetData>
    <x:row r="1" ht="30" hidden="0" customHeight="1">
      <x:c r="A1" s="2" t="str">
        <x:v>Review Findings and Current Status</x:v>
      </x:c>
      <x:c r="B1" s="2" t="str">
        <x:v>Review Findings and Current Status</x:v>
      </x:c>
      <x:c r="C1" s="2" t="str">
        <x:v>Review Findings and Current Status</x:v>
      </x:c>
      <x:c r="D1" s="2" t="str">
        <x:v>Review Findings and Current Status</x:v>
      </x:c>
    </x:row>
    <x:row r="2" ht="31.5" hidden="0" customHeight="1">
      <x:c r="A2" s="3" t="str">
        <x:v>Technical issues identified in the prior version and their status in this filing-safe version.</x:v>
      </x:c>
      <x:c r="B2" s="3" t="str">
        <x:v>Technical issues identified in the prior version and their status in this filing-safe version.</x:v>
      </x:c>
      <x:c r="C2" s="3" t="str">
        <x:v>Technical issues identified in the prior version and their status in this filing-safe version.</x:v>
      </x:c>
      <x:c r="D2" s="3" t="str">
        <x:v>Technical issues identified in the prior version and their status in this filing-safe version.</x:v>
      </x:c>
    </x:row>
    <x:row r="4" ht="34" hidden="0" customHeight="1">
      <x:c r="A4" s="72" t="str">
        <x:v>#</x:v>
      </x:c>
      <x:c r="B4" s="73" t="str">
        <x:v>Finding</x:v>
      </x:c>
      <x:c r="C4" s="73" t="str">
        <x:v>Updated evidence</x:v>
      </x:c>
      <x:c r="D4" s="76" t="str">
        <x:v>Resolution / next step</x:v>
      </x:c>
    </x:row>
    <x:row r="5" ht="72" hidden="0" customHeight="1">
      <x:c r="A5" s="81" t="n">
        <x:v>1</x:v>
      </x:c>
      <x:c r="B5" s="81" t="str">
        <x:v>Asset band not applied before scoring</x:v>
      </x:c>
      <x:c r="C5" s="81" t="str">
        <x:v>The code now enforces $10bn-$250bn locally before calculating percentiles, scores, and ranks. The corrected sample has 149 banks.</x:v>
      </x:c>
      <x:c r="D5" s="81" t="str">
        <x:v>Resolved in this version.</x:v>
      </x:c>
    </x:row>
    <x:row r="6" ht="72" hidden="0" customHeight="1">
      <x:c r="A6" s="81" t="n">
        <x:v>2</x:v>
      </x:c>
      <x:c r="B6" s="81" t="str">
        <x:v>Integration not yet shown to add value</x:v>
      </x:c>
      <x:c r="C6" s="81" t="str">
        <x:v>The integrated score and uninsured-deposit ratio each capture all three failures in the top 15.</x:v>
      </x:c>
      <x:c r="D6" s="81" t="str">
        <x:v>Open research question. Test 2008-2011 without changing version 1.0.</x:v>
      </x:c>
    </x:row>
    <x:row r="7" ht="72" hidden="0" customHeight="1">
      <x:c r="A7" s="81" t="n">
        <x:v>3</x:v>
      </x:c>
      <x:c r="B7" s="81" t="str">
        <x:v>Trigger chosen after seeing outcomes</x:v>
      </x:c>
      <x:c r="C7" s="81" t="str">
        <x:v>The 2023 result remains labeled in-sample.</x:v>
      </x:c>
      <x:c r="D7" s="81" t="str">
        <x:v>Freeze and date version 1.0 before accessing the out-of-episode test results.</x:v>
      </x:c>
    </x:row>
    <x:row r="8" ht="72" hidden="0" customHeight="1">
      <x:c r="A8" s="81" t="n">
        <x:v>4</x:v>
      </x:c>
      <x:c r="B8" s="81" t="str">
        <x:v>False positives not reported</x:v>
      </x:c>
      <x:c r="C8" s="81" t="str">
        <x:v>The trigger score flags 12 nonfailures among 15 top-decile banks. Precision is 20%; the false-positive share is 80%.</x:v>
      </x:c>
      <x:c r="D8" s="81" t="str">
        <x:v>Resolved for this diagnostic. Continue reporting precision and false positives.</x:v>
      </x:c>
    </x:row>
    <x:row r="9" ht="72" hidden="0" customHeight="1">
      <x:c r="A9" s="81" t="n">
        <x:v>5</x:v>
      </x:c>
      <x:c r="B9" s="81" t="str">
        <x:v>Spring 2023 stressed survivors</x:v>
      </x:c>
      <x:c r="C9" s="81" t="str">
        <x:v>Four of five stressed survivors rank above the trigger-score median, none is top decile, and Stressed Peer A ranks 75th of 144 complete scores.</x:v>
      </x:c>
      <x:c r="D9" s="81" t="str">
        <x:v>Included as an anonymized secondary diagnostic. Do not treat it as out-of-sample validation.</x:v>
      </x:c>
    </x:row>
    <x:row r="10" ht="72" hidden="0" customHeight="1">
      <x:c r="A10" s="81" t="n">
        <x:v>6</x:v>
      </x:c>
      <x:c r="B10" s="81" t="str">
        <x:v>Hardcoded summary values</x:v>
      </x:c>
      <x:c r="C10" s="81" t="str">
        <x:v>Peer counts, score medians, captures, false positives, and precision now link to formulas over the corrected data.</x:v>
      </x:c>
      <x:c r="D10" s="81" t="str">
        <x:v>Resolved in this version.</x:v>
      </x:c>
    </x:row>
    <x:row r="11" ht="72" hidden="0" customHeight="1">
      <x:c r="A11" s="81" t="n">
        <x:v>7</x:v>
      </x:c>
      <x:c r="B11" s="81" t="str">
        <x:v>Code and raw data missing</x:v>
      </x:c>
      <x:c r="C11" s="81" t="str">
        <x:v>The support package now includes analysis.py, cached FDIC/FRED source files, a README, and checksums.</x:v>
      </x:c>
      <x:c r="D11" s="81" t="str">
        <x:v>Resolved locally. Public repository and DOI remain outstanding.</x:v>
      </x:c>
    </x:row>
    <x:row r="12" ht="72" hidden="0" customHeight="1">
      <x:c r="A12" s="83" t="n">
        <x:v>8</x:v>
      </x:c>
      <x:c r="B12" s="83" t="str">
        <x:v>Named operating banks</x:v>
      </x:c>
      <x:c r="C12" s="83" t="str">
        <x:v>Nonfailed banks and their FDIC certificate identifiers are anonymized in this filed workbook.</x:v>
      </x:c>
      <x:c r="D12" s="83" t="str">
        <x:v>Resolved in this version. Keep the named working copy separate.</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6796875" defaultRowHeight="15"/>
  <x:cols>
    <x:col min="1" max="1" width="6" style="1" hidden="0" customWidth="1"/>
    <x:col min="2" max="2" width="30" style="1" hidden="0" customWidth="1"/>
    <x:col min="3" max="3" width="44" style="1" hidden="0" customWidth="1"/>
    <x:col min="4" max="5" width="34" style="1" hidden="0" customWidth="1"/>
    <x:col min="6" max="6" width="16" style="1" hidden="0" customWidth="1"/>
  </x:cols>
  <x:sheetData>
    <x:row r="1" ht="30" hidden="0" customHeight="1">
      <x:c r="A1" s="2" t="s">
        <x:v>29</x:v>
      </x:c>
      <x:c r="B1" s="2"/>
      <x:c r="C1" s="2"/>
      <x:c r="D1" s="2"/>
      <x:c r="E1" s="2"/>
      <x:c r="F1" s="2"/>
    </x:row>
    <x:row r="2" ht="31.5" hidden="0" customHeight="1">
      <x:c r="A2" s="3" t="s">
        <x:v>30</x:v>
      </x:c>
      <x:c r="B2" s="3"/>
      <x:c r="C2" s="3"/>
      <x:c r="D2" s="3"/>
      <x:c r="E2" s="3"/>
      <x:c r="F2" s="3"/>
    </x:row>
    <x:row r="4" ht="34" hidden="0" customHeight="1">
      <x:c r="A4" s="72" t="str">
        <x:v>#</x:v>
      </x:c>
      <x:c r="B4" s="73" t="str">
        <x:v>Test</x:v>
      </x:c>
      <x:c r="C4" s="73" t="str">
        <x:v>Design</x:v>
      </x:c>
      <x:c r="D4" s="73" t="str">
        <x:v>Metric</x:v>
      </x:c>
      <x:c r="E4" s="73" t="str">
        <x:v>Pre-stated success criterion</x:v>
      </x:c>
      <x:c r="F4" s="76" t="str">
        <x:v>Target date</x:v>
      </x:c>
    </x:row>
    <x:row r="5" ht="36" hidden="0" customHeight="1">
      <x:c r="A5" s="128" t="str">
        <x:v>T1</x:v>
      </x:c>
      <x:c r="B5" s="128" t="str">
        <x:v>Freeze specification - completed</x:v>
      </x:c>
      <x:c r="C5" s="128" t="str">
        <x:v>Version 1.0.1 fixed the variables, missing-data rules, weights, trigger, and sample construction before any new test was run.</x:v>
      </x:c>
      <x:c r="D5" s="128" t="str">
        <x:v>Public dated specification</x:v>
      </x:c>
      <x:c r="E5" s="128" t="str">
        <x:v>Completed. Version 1.0.1 was archived on October 8, 2026 at doi:10.5281/zenodo.23246551.</x:v>
      </x:c>
      <x:c r="F5" s="128" t="str">
        <x:v>Completed October 8, 2026</x:v>
      </x:c>
    </x:row>
    <x:row r="6" ht="36" hidden="0" customHeight="1">
      <x:c r="A6" s="81" t="str">
        <x:v>T2</x:v>
      </x:c>
      <x:c r="B6" s="81" t="str">
        <x:v>Lead time on 2023 failures</x:v>
      </x:c>
      <x:c r="C6" s="81" t="str">
        <x:v>Descriptive only because 2023 informed the model. Track ranks from 2021Q1 through 2023Q1 without calling the result validation.</x:v>
      </x:c>
      <x:c r="D6" s="81" t="str">
        <x:v>Quarters in top decile before failure</x:v>
      </x:c>
      <x:c r="E6" s="81" t="str">
        <x:v>Report all three histories and every quarter; no pass/fail claim</x:v>
      </x:c>
      <x:c r="F6" s="81" t="str">
        <x:v>Q2 2027</x:v>
      </x:c>
    </x:row>
    <x:row r="7" ht="48" hidden="0" customHeight="1">
      <x:c r="A7" s="81" t="str">
        <x:v>T3</x:v>
      </x:c>
      <x:c r="B7" s="81" t="str">
        <x:v>Historical holdout: 2008-2011</x:v>
      </x:c>
      <x:c r="C7" s="81" t="str">
        <x:v>Apply frozen version 1.0.1 unchanged to a single 2007Q4 baseline. Outcome is FDIC failure in the following eight quarters (2008Q1-2009Q4). Operational rules R1-R8 apply.</x:v>
      </x:c>
      <x:c r="D7" s="81" t="str">
        <x:v>AUC, capture, precision, calibration</x:v>
      </x:c>
      <x:c r="E7" s="81" t="str">
        <x:v>AUC at least 0.70 and at least 0.03 above the best single-ratio benchmark</x:v>
      </x:c>
      <x:c r="F7" s="81" t="str">
        <x:v>Q3 2027</x:v>
      </x:c>
    </x:row>
    <x:row r="8" ht="190" hidden="0" customHeight="1">
      <x:c r="A8" s="81" t="str">
        <x:v>T4</x:v>
      </x:c>
      <x:c r="B8" s="81" t="str">
        <x:v>Historical holdout: 2019-2020</x:v>
      </x:c>
      <x:c r="C8" s="81" t="str">
        <x:v>Primary test: apply frozen version 1.0.1 unchanged to a single 2019Q4 baseline and follow each bank for four quarters through 2020Q4. Secondary robustness test: rolling 2019Q1-2019Q4 baselines, each followed for four quarters. Outcome, measured over the same four-quarter window for every component and at the worst quarter in that window (rule R4): FDIC failure, a decline in equity-to-assets of at least 2 percentage points, or an increase in noncurrent loans-to-gross loans of at least 1 percentage point that also reaches 2%. An eight-quarter failure analysis may be reported separately as a secondary endpoint. Any results from 2020 baselines are labeled contemporaneous monitoring, not pre-stress prediction. No bank-level 2019-2020 test results were calculated or inspected before the v1.0.2 test definition and pass criteria were publicly timestamped.</x:v>
      </x:c>
      <x:c r="D8" s="81" t="str">
        <x:v>AUC, top-decile capture and precision; bank-clustered confidence intervals for the rolling secondary test</x:v>
      </x:c>
      <x:c r="E8" s="81" t="str">
        <x:v>Primary test passes only if AUC is at least 0.70, at least 0.03 above the best single-ratio AUC, and top-decile precision is at least 5 percentage points above the best single ratio. Inconclusive if the primary cohort has fewer than five outcome banks (R6). Secondary, eight-quarter, and monitoring results are reported but do not determine pass or fail.</x:v>
      </x:c>
      <x:c r="F8" s="81" t="str">
        <x:v>Q4 2027</x:v>
      </x:c>
    </x:row>
    <x:row r="9" ht="115" hidden="0" customHeight="1">
      <x:c r="A9" s="81" t="str">
        <x:v>T5</x:v>
      </x:c>
      <x:c r="B9" s="81" t="str">
        <x:v>Prospective validation</x:v>
      </x:c>
      <x:c r="C9" s="81" t="str">
        <x:v>Apply frozen version 1.0.1 unchanged to a single 2026Q3 baseline, the first quarter whose Call Report data were not available when version 1.0.1 was frozen. Follow each eligible bank for eight quarters through 2028Q3. Outcome over that eight-quarter window, measured at the worst quarter (rule R4): FDIC failure, a decline in equity-to-assets of at least 2 percentage points, or an increase in noncurrent loans-to-gross loans of at least 1 percentage point that also reaches 2%. Do not retune after results become available.</x:v>
      </x:c>
      <x:c r="D9" s="81" t="str">
        <x:v>AUC, top-decile capture and precision, confidence intervals</x:v>
      </x:c>
      <x:c r="E9" s="81" t="str">
        <x:v>Same pass marks as the T4 primary test. If fewer than five outcome banks occur, classify the test as inconclusive and continue observation without retuning.</x:v>
      </x:c>
      <x:c r="F9" s="81" t="str">
        <x:v>Q1 2029</x:v>
      </x:c>
    </x:row>
    <x:row r="10" ht="36" hidden="0" customHeight="1">
      <x:c r="A10" s="81" t="str">
        <x:v>T6</x:v>
      </x:c>
      <x:c r="B10" s="81" t="str">
        <x:v>Cross-episode robustness</x:v>
      </x:c>
      <x:c r="C10" s="81" t="str">
        <x:v>Compare the integrated score with each single ratio and a simple ratio screen across T3-T5 and the 2023 development diagnostic.</x:v>
      </x:c>
      <x:c r="D10" s="81" t="str">
        <x:v>Worst-episode AUC per signal</x:v>
      </x:c>
      <x:c r="E10" s="81" t="str">
        <x:v>Highest worst-episode AUC and no episode more than 0.02 below the best benchmark</x:v>
      </x:c>
      <x:c r="F10" s="81" t="str">
        <x:v>Q1 2029</x:v>
      </x:c>
    </x:row>
    <x:row r="11" ht="48" hidden="0" customHeight="1">
      <x:c r="A11" s="81" t="str">
        <x:v>T7</x:v>
      </x:c>
      <x:c r="B11" s="81" t="str">
        <x:v>False-positive burden</x:v>
      </x:c>
      <x:c r="C11" s="81" t="str">
        <x:v>Measure precision at fixed top-decile and top-quintile cutoffs and document stressed survivors and ordinary survivors.</x:v>
      </x:c>
      <x:c r="D11" s="81" t="str">
        <x:v>Precision, false-positive share, review volume</x:v>
      </x:c>
      <x:c r="E11" s="81" t="str">
        <x:v>Report all results. The integrated score must improve precision by at least 5 percentage points over the best single ratio to claim operational advantage</x:v>
      </x:c>
      <x:c r="F11" s="81" t="str">
        <x:v>Q1 2029</x:v>
      </x:c>
    </x:row>
    <x:row r="12" ht="24" hidden="0" customHeight="1">
      <x:c r="A12" s="81" t="str">
        <x:v>T8</x:v>
      </x:c>
      <x:c r="B12" s="81" t="str">
        <x:v>Smaller banks</x:v>
      </x:c>
      <x:c r="C12" s="81" t="str">
        <x:v>Extend the frozen method from $10bn-$250bn banks to $1bn-$10bn banks without retuning.</x:v>
      </x:c>
      <x:c r="D12" s="81" t="str">
        <x:v>Same metrics as T3-T7</x:v>
      </x:c>
      <x:c r="E12" s="81" t="str">
        <x:v>AUC no more than 0.05 below performance in the primary size band</x:v>
      </x:c>
      <x:c r="F12" s="81" t="str">
        <x:v>Q2 2029</x:v>
      </x:c>
    </x:row>
    <x:row r="13" ht="36" hidden="0" customHeight="1">
      <x:c r="A13" s="81" t="str">
        <x:v>T9</x:v>
      </x:c>
      <x:c r="B13" s="81" t="str">
        <x:v>Benchmark published approaches</x:v>
      </x:c>
      <x:c r="C13" s="81" t="str">
        <x:v>Compare with public Federal Reserve and supervisory methodology documents where the inputs and outcomes are comparable.</x:v>
      </x:c>
      <x:c r="D13" s="81" t="str">
        <x:v>Qualitative mapping and rank comparison</x:v>
      </x:c>
      <x:c r="E13" s="81" t="str">
        <x:v>Documented differences, limitations, and complementary uses; no unsupported superiority claim</x:v>
      </x:c>
      <x:c r="F13" s="81" t="str">
        <x:v>Q4 2029</x:v>
      </x:c>
    </x:row>
    <x:row r="15" ht="25.5" customHeight="1">
      <x:c r="A15" s="131" t="str">
        <x:v>A failed or inconclusive test will be reported. The integrated method will not be described as superior unless it meets the frozen, quantitative criteria.</x:v>
      </x:c>
      <x:c r="B15" s="131"/>
      <x:c r="C15" s="131"/>
      <x:c r="D15" s="131"/>
      <x:c r="E15" s="131"/>
      <x:c r="F15" s="131"/>
    </x:row>
    <x:row r="17" ht="24" customHeight="1">
      <x:c r="A17" s="72" t="str">
        <x:v>#</x:v>
      </x:c>
      <x:c r="B17" s="73" t="str">
        <x:v>Operational rule (added in v1.0.3, before any test was run)</x:v>
      </x:c>
      <x:c r="C17" s="73" t="str">
        <x:v>Definition</x:v>
      </x:c>
      <x:c r="D17" s="73"/>
      <x:c r="E17" s="73"/>
      <x:c r="F17" s="76"/>
    </x:row>
    <x:row r="18" ht="60" customHeight="1">
      <x:c r="A18" s="81" t="str">
        <x:v>R1</x:v>
      </x:c>
      <x:c r="B18" s="81" t="str">
        <x:v>Scope</x:v>
      </x:c>
      <x:c r="C18" s="81" t="str">
        <x:v>These rules apply to T3, T4, and T5. They were added in version 1.0.3, before any of those tests was run, and do not change the indicators, percentile construction, weights, interaction term, or dominant-risk trigger frozen in version 1.0.1.</x:v>
      </x:c>
      <x:c r="D18" s="81"/>
      <x:c r="E18" s="81"/>
      <x:c r="F18" s="81"/>
    </x:row>
    <x:row r="19" ht="45" customHeight="1">
      <x:c r="A19" s="81" t="str">
        <x:v>R2</x:v>
      </x:c>
      <x:c r="B19" s="81" t="str">
        <x:v>Eligibility</x:v>
      </x:c>
      <x:c r="C19" s="81" t="str">
        <x:v>A bank is eligible if its baseline-quarter Call Report shows total assets of $10 billion to $250 billion and complete trigger inputs. Eligibility is fixed at the baseline: a bank that later moves outside the asset band stays in the cohort.</x:v>
      </x:c>
      <x:c r="D19" s="81"/>
      <x:c r="E19" s="81"/>
      <x:c r="F19" s="81"/>
    </x:row>
    <x:row r="20" ht="45" customHeight="1">
      <x:c r="A20" s="81" t="str">
        <x:v>R3</x:v>
      </x:c>
      <x:c r="B20" s="81" t="str">
        <x:v>Failure</x:v>
      </x:c>
      <x:c r="C20" s="81" t="str">
        <x:v>A bank counts as a failure if it appears on the FDIC failed-bank list with a closing date inside the outcome window, including FDIC-assisted transactions. A failure counts as an outcome regardless of any other data.</x:v>
      </x:c>
      <x:c r="D20" s="81"/>
      <x:c r="E20" s="81"/>
      <x:c r="F20" s="81"/>
    </x:row>
    <x:row r="21" ht="90" customHeight="1">
      <x:c r="A21" s="81" t="str">
        <x:v>R4</x:v>
      </x:c>
      <x:c r="B21" s="81" t="str">
        <x:v>Capital and credit deterioration</x:v>
      </x:c>
      <x:c r="C21" s="81" t="str">
        <x:v>Measured at the worst quarter in the outcome window, not the final quarter. Capital deterioration: the lowest equity-to-assets ratio reported in any window quarter is at least 2 percentage points below the baseline ratio. Credit deterioration: the highest noncurrent loans-to-gross loans ratio reported in any window quarter is at least 1 percentage point above the baseline ratio and at least 2%. Where a test's outcome includes these components, an outcome occurs if failure, capital deterioration, or credit deterioration occurs.</x:v>
      </x:c>
      <x:c r="D21" s="81"/>
      <x:c r="E21" s="81"/>
      <x:c r="F21" s="81"/>
    </x:row>
    <x:row r="22" ht="75" customHeight="1">
      <x:c r="A22" s="81" t="str">
        <x:v>R5</x:v>
      </x:c>
      <x:c r="B22" s="81" t="str">
        <x:v>Mergers, exits, and missing reports</x:v>
      </x:c>
      <x:c r="C22" s="81" t="str">
        <x:v>A bank that stops filing during the window without failing (for example, because it was acquired or merged) is assessed on the window quarters it did report. Missing quarters are skipped. A bank with no Call Report in the outcome window is excluded from the primary analysis and listed in the results. A sensitivity analysis that excludes every bank exiting before the window ends is reported separately.</x:v>
      </x:c>
      <x:c r="D22" s="81"/>
      <x:c r="E22" s="81"/>
      <x:c r="F22" s="81"/>
    </x:row>
    <x:row r="23" ht="45" customHeight="1">
      <x:c r="A23" s="81" t="str">
        <x:v>R6</x:v>
      </x:c>
      <x:c r="B23" s="81" t="str">
        <x:v>Inconclusive results</x:v>
      </x:c>
      <x:c r="C23" s="81" t="str">
        <x:v>A test whose primary cohort has fewer than five outcome banks is reported as inconclusive. T5 then continues prospective observation without retuning; T3 and T4 results are reported descriptively.</x:v>
      </x:c>
      <x:c r="D23" s="81"/>
      <x:c r="E23" s="81"/>
      <x:c r="F23" s="81"/>
    </x:row>
    <x:row r="24" ht="75" customHeight="1">
      <x:c r="A24" s="81" t="str">
        <x:v>R7</x:v>
      </x:c>
      <x:c r="B24" s="81" t="str">
        <x:v>Confidence intervals</x:v>
      </x:c>
      <x:c r="C24" s="81" t="str">
        <x:v>For single-baseline cohorts (T3, T4 primary, T5): 95% confidence intervals for AUC by the DeLong method, and for top-decile capture and precision by a bank-level bootstrap with 2,000 resamples. For the rolling T4 secondary cohort: a bank-clustered bootstrap with 2,000 resamples. Pass or fail is judged on point estimates against the pre-stated criteria; intervals are reported alongside.</x:v>
      </x:c>
      <x:c r="D24" s="81"/>
      <x:c r="E24" s="81"/>
      <x:c r="F24" s="81"/>
    </x:row>
    <x:row r="25" ht="45" customHeight="1">
      <x:c r="A25" s="81" t="str">
        <x:v>R8</x:v>
      </x:c>
      <x:c r="B25" s="81" t="str">
        <x:v>Data provenance</x:v>
      </x:c>
      <x:c r="C25" s="81" t="str">
        <x:v>Call Report and failure data are downloaded from public FFIEC or FDIC sources when each test is run. Download dates and SHA-256 hashes of the raw files are published with the results.</x:v>
      </x:c>
      <x:c r="D25" s="81"/>
      <x:c r="E25" s="81"/>
      <x:c r="F25" s="81"/>
    </x:row>
  </x:sheetData>
  <x:mergeCells count="12">
    <x:mergeCell ref="A1:F1"/>
    <x:mergeCell ref="A2:F2"/>
    <x:mergeCell ref="A15:F15"/>
    <x:mergeCell ref="C17:F17"/>
    <x:mergeCell ref="C18:F18"/>
    <x:mergeCell ref="C19:F19"/>
    <x:mergeCell ref="C20:F20"/>
    <x:mergeCell ref="C21:F21"/>
    <x:mergeCell ref="C22:F22"/>
    <x:mergeCell ref="C23:F23"/>
    <x:mergeCell ref="C24:F24"/>
    <x:mergeCell ref="C25:F2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6796875" defaultRowHeight="15"/>
  <x:cols>
    <x:col min="1" max="2" width="16" style="1" hidden="0" customWidth="1"/>
    <x:col min="3" max="3" width="40" style="1" hidden="0" customWidth="1"/>
    <x:col min="4" max="4" width="34" style="1" hidden="0" customWidth="1"/>
    <x:col min="5" max="5" width="30" style="1" hidden="0" customWidth="1"/>
    <x:col min="6" max="6" width="14" style="1" hidden="0" customWidth="1"/>
  </x:cols>
  <x:sheetData>
    <x:row r="1" ht="30" hidden="0" customHeight="1">
      <x:c r="A1" s="2" t="s">
        <x:v>31</x:v>
      </x:c>
      <x:c r="B1" s="2"/>
      <x:c r="C1" s="2"/>
      <x:c r="D1" s="2"/>
      <x:c r="E1" s="2"/>
      <x:c r="F1" s="2"/>
    </x:row>
    <x:row r="2" ht="31.5" hidden="0" customHeight="1">
      <x:c r="A2" s="3" t="s">
        <x:v>32</x:v>
      </x:c>
      <x:c r="B2" s="3"/>
      <x:c r="C2" s="3"/>
      <x:c r="D2" s="3"/>
      <x:c r="E2" s="3"/>
      <x:c r="F2" s="3"/>
    </x:row>
    <x:row r="4" ht="15" hidden="0">
      <x:c r="A4" s="8" t="s">
        <x:v>33</x:v>
      </x:c>
      <x:c r="B4" s="8" t="s">
        <x:v>34</x:v>
      </x:c>
      <x:c r="C4" s="8" t="s">
        <x:v>35</x:v>
      </x:c>
      <x:c r="D4" s="8" t="s">
        <x:v>36</x:v>
      </x:c>
      <x:c r="E4" s="8" t="s">
        <x:v>37</x:v>
      </x:c>
      <x:c r="F4" s="8" t="s">
        <x:v>8</x:v>
      </x:c>
    </x:row>
    <x:row r="5" ht="36" hidden="0" customHeight="1">
      <x:c r="A5" s="77" t="str">
        <x:v>0. Set-up</x:v>
      </x:c>
      <x:c r="B5" s="77" t="str">
        <x:v>Q4 2026</x:v>
      </x:c>
      <x:c r="C5" s="77" t="str">
        <x:v>Correct peer filter; recompute scores; disclose false positives; anonymize filed workbook; archive code and raw data</x:v>
      </x:c>
      <x:c r="D5" s="77" t="str">
        <x:v>Corrected workbook and reproducibility package</x:v>
      </x:c>
      <x:c r="E5" s="77" t="str">
        <x:v>Workbook formulas; code; raw sources; checksum manifest</x:v>
      </x:c>
      <x:c r="F5" s="133" t="str">
        <x:v>Completed</x:v>
      </x:c>
    </x:row>
    <x:row r="6" ht="24" hidden="0" customHeight="1">
      <x:c r="A6" s="77" t="str">
        <x:v>0. Set-up</x:v>
      </x:c>
      <x:c r="B6" s="77" t="str">
        <x:v>Q4 2026</x:v>
      </x:c>
      <x:c r="C6" s="77" t="str">
        <x:v>Confirm personal-time separation and any required outside-activity approval</x:v>
      </x:c>
      <x:c r="D6" s="77" t="str">
        <x:v>Written confirmation or approval record</x:v>
      </x:c>
      <x:c r="E6" s="77" t="str">
        <x:v>Dated note or employer approval, if required</x:v>
      </x:c>
      <x:c r="F6" s="132" t="str">
        <x:v>User action required</x:v>
      </x:c>
    </x:row>
    <x:row r="7" ht="15" hidden="0" customHeight="1">
      <x:c r="A7" s="77" t="str">
        <x:v>1. Validate</x:v>
      </x:c>
      <x:c r="B7" s="77" t="str">
        <x:v>October 8, 2026</x:v>
      </x:c>
      <x:c r="C7" s="77" t="str">
        <x:v>Freeze and publish version 1.0.1 specification</x:v>
      </x:c>
      <x:c r="D7" s="77" t="str">
        <x:v>Public frozen specification</x:v>
      </x:c>
      <x:c r="E7" s="77" t="str">
        <x:v>doi:10.5281/zenodo.23246551</x:v>
      </x:c>
      <x:c r="F7" s="133" t="str">
        <x:v>Completed</x:v>
      </x:c>
    </x:row>
    <x:row r="8" ht="24" hidden="0" customHeight="1">
      <x:c r="A8" s="77" t="str">
        <x:v>1. Validate</x:v>
      </x:c>
      <x:c r="B8" s="77" t="str">
        <x:v>Q1 to Q2 2027</x:v>
      </x:c>
      <x:c r="C8" s="77" t="str">
        <x:v>Build quarterly bank panel (2001 to latest) from Call Reports; add FRED macro series</x:v>
      </x:c>
      <x:c r="D8" s="77" t="str">
        <x:v>Reproducible data pipeline</x:v>
      </x:c>
      <x:c r="E8" s="77" t="str">
        <x:v>Repository release</x:v>
      </x:c>
      <x:c r="F8" s="132" t="str">
        <x:v>Planned</x:v>
      </x:c>
    </x:row>
    <x:row r="9" ht="24" hidden="0" customHeight="1">
      <x:c r="A9" s="77" t="str">
        <x:v>1. Validate</x:v>
      </x:c>
      <x:c r="B9" s="77" t="str">
        <x:v>Q2 to Q4 2027</x:v>
      </x:c>
      <x:c r="C9" s="77" t="str">
        <x:v>Run T2-T4 and initial T6-T7 analyses without retuning</x:v>
      </x:c>
      <x:c r="D9" s="77" t="str">
        <x:v>Historical validation results report</x:v>
      </x:c>
      <x:c r="E9" s="77" t="str">
        <x:v>Public report with all results, including failures and inconclusive tests</x:v>
      </x:c>
      <x:c r="F9" s="132" t="str">
        <x:v>Planned</x:v>
      </x:c>
    </x:row>
    <x:row r="10" ht="36" hidden="0" customHeight="1">
      <x:c r="A10" s="77" t="str">
        <x:v>1. Validate</x:v>
      </x:c>
      <x:c r="B10" s="77" t="str">
        <x:v>Q4 2028 to Q1 2029</x:v>
      </x:c>
      <x:c r="C10" s="77" t="str">
        <x:v>Complete the prospective T5 outcome window (2026Q3 baseline through 2028Q3); update T6-T7</x:v>
      </x:c>
      <x:c r="D10" s="77" t="str">
        <x:v>Prospective validation report</x:v>
      </x:c>
      <x:c r="E10" s="77" t="str">
        <x:v>Dated public report using the frozen specification</x:v>
      </x:c>
      <x:c r="F10" s="132" t="str">
        <x:v>Planned</x:v>
      </x:c>
    </x:row>
    <x:row r="11" ht="24" hidden="0" customHeight="1">
      <x:c r="A11" s="77" t="str">
        <x:v>2. Share findings</x:v>
      </x:c>
      <x:c r="B11" s="77" t="str">
        <x:v>Q3 2027</x:v>
      </x:c>
      <x:c r="C11" s="77" t="str">
        <x:v>Working paper</x:v>
      </x:c>
      <x:c r="D11" s="77" t="str">
        <x:v>Paper posted on SSRN</x:v>
      </x:c>
      <x:c r="E11" s="77" t="str">
        <x:v>SSRN posting date and download count</x:v>
      </x:c>
      <x:c r="F11" s="132" t="str">
        <x:v>Planned</x:v>
      </x:c>
    </x:row>
    <x:row r="12" ht="36" hidden="0" customHeight="1">
      <x:c r="A12" s="77" t="str">
        <x:v>2. Share findings</x:v>
      </x:c>
      <x:c r="B12" s="77" t="str">
        <x:v>Q4 2027 to Q2 2029</x:v>
      </x:c>
      <x:c r="C12" s="77" t="str">
        <x:v>Present to practitioners and researchers</x:v>
      </x:c>
      <x:c r="D12" s="77" t="str">
        <x:v>Talks, e.g., GARP chapter, a state bankers association, the Federal Reserve and CSBS Community Banking research conference</x:v>
      </x:c>
      <x:c r="E12" s="77" t="str">
        <x:v>Invitations, programs, attendee counts</x:v>
      </x:c>
      <x:c r="F12" s="132" t="str">
        <x:v>Planned</x:v>
      </x:c>
    </x:row>
    <x:row r="13" ht="24" hidden="0" customHeight="1">
      <x:c r="A13" s="77" t="str">
        <x:v>2. Share findings</x:v>
      </x:c>
      <x:c r="B13" s="77" t="str">
        <x:v>Q2 2029</x:v>
      </x:c>
      <x:c r="C13" s="77" t="str">
        <x:v>Submit updated evidence to a peer-reviewed journal</x:v>
      </x:c>
      <x:c r="D13" s="77" t="str">
        <x:v>Journal submission including historical and prospective results</x:v>
      </x:c>
      <x:c r="E13" s="77" t="str">
        <x:v>Submission confirmation; reviewer feedback</x:v>
      </x:c>
      <x:c r="F13" s="132" t="str">
        <x:v>Planned</x:v>
      </x:c>
    </x:row>
    <x:row r="14" ht="60" hidden="0" customHeight="1">
      <x:c r="A14" s="7" t="s">
        <x:v>38</x:v>
      </x:c>
      <x:c r="B14" s="7" t="str">
        <x:v>Q4 2028 to Q2 2029</x:v>
      </x:c>
      <x:c r="C14" s="7" t="str">
        <x:v>Publish validation protocol aligned with model risk management guidance (SR 11-7); release a bank self-assessment template; extend the frozen method to $1bn-$10bn banks (T8)</x:v>
      </x:c>
      <x:c r="D14" s="7" t="str">
        <x:v>Protocol document; Excel and Python self-assessment template with user guide; T8 results</x:v>
      </x:c>
      <x:c r="E14" s="7" t="str">
        <x:v>Public releases; downloads; feedback from banks</x:v>
      </x:c>
      <x:c r="F14" s="30" t="s">
        <x:v>43</x:v>
      </x:c>
    </x:row>
    <x:row r="15" ht="43.5" hidden="0" customHeight="1">
      <x:c r="A15" s="7" t="s">
        <x:v>44</x:v>
      </x:c>
      <x:c r="B15" s="7" t="s">
        <x:v>45</x:v>
      </x:c>
      <x:c r="C15" s="7" t="s">
        <x:v>46</x:v>
      </x:c>
      <x:c r="D15" s="7" t="s">
        <x:v>47</x:v>
      </x:c>
      <x:c r="E15" s="7" t="s">
        <x:v>48</x:v>
      </x:c>
      <x:c r="F15" s="30" t="s">
        <x:v>43</x:v>
      </x:c>
    </x:row>
    <x:row r="16" ht="43.5" hidden="0" customHeight="1">
      <x:c r="A16" s="7" t="s">
        <x:v>44</x:v>
      </x:c>
      <x:c r="B16" s="7" t="s">
        <x:v>49</x:v>
      </x:c>
      <x:c r="C16" s="7" t="str">
        <x:v>Refresh with each year-end Call Report cycle; compare with published Federal Reserve models (T9)</x:v>
      </x:c>
      <x:c r="D16" s="7" t="s">
        <x:v>51</x:v>
      </x:c>
      <x:c r="E16" s="7" t="s">
        <x:v>52</x:v>
      </x:c>
      <x:c r="F16" s="30" t="s">
        <x:v>43</x:v>
      </x:c>
    </x:row>
    <x:row r="18" ht="15" hidden="0" customHeight="1">
      <x:c r="A18" s="31" t="s">
        <x:v>53</x:v>
      </x:c>
      <x:c r="B18" s="31"/>
      <x:c r="C18" s="31"/>
      <x:c r="D18" s="31"/>
      <x:c r="E18" s="31"/>
      <x:c r="F18" s="31"/>
    </x:row>
  </x:sheetData>
  <x:mergeCells>
    <x:mergeCell ref="A1:F1"/>
    <x:mergeCell ref="A2:F2"/>
    <x:mergeCell ref="A18:F18"/>
  </x:mergeCells>
  <x:pageMargins left="0.7" right="0.7" top="0.75" bottom="0.75" header="0.3" footer="0.3"/>
</x:worksheet>
</file>

<file path=xl/worksheets/sheet7.xml><?xml version="1.0" encoding="utf-8"?>
<x:worksheet xmlns:x="http://schemas.openxmlformats.org/spreadsheetml/2006/main">
  <x:sheetPr>
    <x:tabColor rgb="FFB23A48"/>
  </x:sheetPr>
  <x:sheetViews>
    <x:sheetView showGridLines="0" workbookViewId="0">
      <x:pane ySplit="4" topLeftCell="A5" activePane="bottomLeft" state="frozen"/>
    </x:sheetView>
  </x:sheetViews>
  <x:sheetFormatPr defaultColWidth="8.6796875" defaultRowHeight="15"/>
  <x:cols>
    <x:col min="1" max="1" width="28" style="1" hidden="0" customWidth="1"/>
    <x:col min="2" max="16" width="14" style="1" hidden="0" customWidth="1"/>
  </x:cols>
  <x:sheetData>
    <x:row r="1" ht="31.5" hidden="0" customHeight="1">
      <x:c r="A1" s="9" t="s">
        <x:v>54</x:v>
      </x:c>
      <x:c r="B1" s="9"/>
      <x:c r="C1" s="9"/>
      <x:c r="D1" s="9"/>
      <x:c r="E1" s="9"/>
      <x:c r="F1" s="9"/>
      <x:c r="G1" s="9"/>
      <x:c r="H1" s="9"/>
      <x:c r="I1" s="9"/>
      <x:c r="J1" s="9"/>
      <x:c r="K1" s="9"/>
      <x:c r="L1" s="9"/>
      <x:c r="M1" s="9"/>
      <x:c r="N1" s="9"/>
      <x:c r="O1" s="9"/>
      <x:c r="P1" s="9"/>
    </x:row>
    <x:row r="2" ht="33.75" hidden="0" customHeight="1">
      <x:c r="A2" s="10" t="s">
        <x:v>55</x:v>
      </x:c>
      <x:c r="B2" s="10"/>
      <x:c r="C2" s="10"/>
      <x:c r="D2" s="10"/>
      <x:c r="E2" s="10"/>
      <x:c r="F2" s="10"/>
      <x:c r="G2" s="10"/>
      <x:c r="H2" s="10"/>
      <x:c r="I2" s="10"/>
      <x:c r="J2" s="10"/>
      <x:c r="K2" s="10"/>
      <x:c r="L2" s="10"/>
      <x:c r="M2" s="10"/>
      <x:c r="N2" s="10"/>
      <x:c r="O2" s="10"/>
      <x:c r="P2" s="10"/>
    </x:row>
    <x:row r="4" ht="34" hidden="0" customHeight="1">
      <x:c r="A4" s="52" t="str">
        <x:v>Institution</x:v>
      </x:c>
      <x:c r="B4" s="53" t="str">
        <x:v>FDIC Cert</x:v>
      </x:c>
      <x:c r="C4" s="53" t="str">
        <x:v>Failure date</x:v>
      </x:c>
      <x:c r="D4" s="53" t="str">
        <x:v>Assets ($bn)</x:v>
      </x:c>
      <x:c r="E4" s="53" t="str">
        <x:v>Capital / assets</x:v>
      </x:c>
      <x:c r="F4" s="53" t="str">
        <x:v>Cash / assets</x:v>
      </x:c>
      <x:c r="G4" s="53" t="str">
        <x:v>Securities / assets</x:v>
      </x:c>
      <x:c r="H4" s="53" t="str">
        <x:v>MTM gap / equity</x:v>
      </x:c>
      <x:c r="I4" s="53" t="str">
        <x:v>Uninsured deposits / deposits</x:v>
      </x:c>
      <x:c r="J4" s="53" t="str">
        <x:v>Noncurrent loans / loans</x:v>
      </x:c>
      <x:c r="K4" s="53" t="str">
        <x:v>Rate score</x:v>
      </x:c>
      <x:c r="L4" s="53" t="str">
        <x:v>Funding score</x:v>
      </x:c>
      <x:c r="M4" s="53" t="str">
        <x:v>Credit score</x:v>
      </x:c>
      <x:c r="N4" s="53" t="str">
        <x:v>Baseline rank</x:v>
      </x:c>
      <x:c r="O4" s="53" t="str">
        <x:v>Trigger rank</x:v>
      </x:c>
      <x:c r="P4" s="54" t="str">
        <x:v>Trigger score</x:v>
      </x:c>
    </x:row>
    <x:row r="5" ht="15" hidden="0">
      <x:c r="A5" s="59" t="str">
        <x:v>SILICON VALLEY BANK</x:v>
      </x:c>
      <x:c r="B5" s="59" t="n">
        <x:v>24735</x:v>
      </x:c>
      <x:c r="C5" s="59" t="str">
        <x:v>3/10/2023</x:v>
      </x:c>
      <x:c r="D5" s="63" t="n">
        <x:v>209.026</x:v>
      </x:c>
      <x:c r="E5" s="65" t="n">
        <x:v>0.07394295446499478</x:v>
      </x:c>
      <x:c r="F5" s="65" t="n">
        <x:v>0.05985379809210337</x:v>
      </x:c>
      <x:c r="G5" s="65" t="n">
        <x:v>0.5611598557117297</x:v>
      </x:c>
      <x:c r="H5" s="65" t="n">
        <x:v>0.9803959627329193</x:v>
      </x:c>
      <x:c r="I5" s="65" t="n">
        <x:v>0.8643729544184562</x:v>
      </x:c>
      <x:c r="J5" s="65" t="n">
        <x:v>0.0018720790852402053</x:v>
      </x:c>
      <x:c r="K5" s="65" t="n">
        <x:v>0.9728766489238603</x:v>
      </x:c>
      <x:c r="L5" s="65" t="n">
        <x:v>0.6375838926174497</x:v>
      </x:c>
      <x:c r="M5" s="65" t="n">
        <x:v>0.28716216216216217</x:v>
      </x:c>
      <x:c r="N5" s="59" t="n">
        <x:v>4</x:v>
      </x:c>
      <x:c r="O5" s="59" t="n">
        <x:v>5</x:v>
      </x:c>
      <x:c r="P5" s="63" t="n">
        <x:v>81.5244742746716</x:v>
      </x:c>
    </x:row>
    <x:row r="6" ht="15" hidden="0">
      <x:c r="A6" s="59" t="str">
        <x:v>FIRST REPUBLIC BANK</x:v>
      </x:c>
      <x:c r="B6" s="59" t="n">
        <x:v>59017</x:v>
      </x:c>
      <x:c r="C6" s="59" t="str">
        <x:v>5/1/2023</x:v>
      </x:c>
      <x:c r="D6" s="63" t="n">
        <x:v>212.638872</x:v>
      </x:c>
      <x:c r="E6" s="65" t="n">
        <x:v>0.08204486242759979</x:v>
      </x:c>
      <x:c r="F6" s="65" t="n">
        <x:v>0.020143076191638187</x:v>
      </x:c>
      <x:c r="G6" s="65" t="n">
        <x:v>0.14916755672029713</x:v>
      </x:c>
      <x:c r="H6" s="65" t="n">
        <x:v>0.27425432881841133</x:v>
      </x:c>
      <x:c r="I6" s="65" t="n">
        <x:v>0.6771309706949528</x:v>
      </x:c>
      <x:c r="J6" s="65" t="n">
        <x:v>0.0006518233350692437</x:v>
      </x:c>
      <x:c r="K6" s="65" t="n">
        <x:v>0.630039342744735</x:v>
      </x:c>
      <x:c r="L6" s="65" t="n">
        <x:v>0.8557046979865772</x:v>
      </x:c>
      <x:c r="M6" s="65" t="n">
        <x:v>0.07770270270270271</x:v>
      </x:c>
      <x:c r="N6" s="59" t="n">
        <x:v>28</x:v>
      </x:c>
      <x:c r="O6" s="59" t="n">
        <x:v>10</x:v>
      </x:c>
      <x:c r="P6" s="63" t="n">
        <x:v>78.26600796580571</x:v>
      </x:c>
    </x:row>
    <x:row r="7" ht="15" hidden="0">
      <x:c r="A7" s="61" t="str">
        <x:v>SIGNATURE BANK</x:v>
      </x:c>
      <x:c r="B7" s="61" t="n">
        <x:v>57053</x:v>
      </x:c>
      <x:c r="C7" s="61" t="str">
        <x:v>3/12/2023</x:v>
      </x:c>
      <x:c r="D7" s="64" t="n">
        <x:v>110.36365</x:v>
      </x:c>
      <x:c r="E7" s="66" t="n">
        <x:v>0.07260634275868912</x:v>
      </x:c>
      <x:c r="F7" s="66" t="n">
        <x:v>0.05494118761023217</x:v>
      </x:c>
      <x:c r="G7" s="66" t="n">
        <x:v>0.23696926478962957</x:v>
      </x:c>
      <x:c r="H7" s="66" t="n">
        <x:v>0.09511586088831278</x:v>
      </x:c>
      <x:c r="I7" s="66" t="n">
        <x:v>0.8966973334167975</x:v>
      </x:c>
      <x:c r="J7" s="66" t="n">
        <x:v>0.0031869477705020995</x:v>
      </x:c>
      <x:c r="K7" s="66" t="n">
        <x:v>0.6943763017819949</x:v>
      </x:c>
      <x:c r="L7" s="66" t="n">
        <x:v>0.6577181208053691</x:v>
      </x:c>
      <x:c r="M7" s="66" t="n">
        <x:v>0.3547297297297297</x:v>
      </x:c>
      <x:c r="N7" s="61" t="n">
        <x:v>27</x:v>
      </x:c>
      <x:c r="O7" s="61" t="n">
        <x:v>15</x:v>
      </x:c>
      <x:c r="P7" s="64" t="n">
        <x:v>76.2227398852054</x:v>
      </x:c>
    </x:row>
  </x:sheetData>
  <x:mergeCells>
    <x:mergeCell ref="A1:P1"/>
    <x:mergeCell ref="A2:P2"/>
  </x:mergeCells>
  <x:pageMargins left="0.7" right="0.7" top="0.75" bottom="0.75" header="0.3" footer="0.3"/>
  <x:tableParts count="1">
    <x:tablePart xmlns:r="http://schemas.openxmlformats.org/officeDocument/2006/relationships" r:id="Rd03645c606444e18"/>
  </x:tableParts>
</x:worksheet>
</file>

<file path=xl/worksheets/sheet8.xml><?xml version="1.0" encoding="utf-8"?>
<x:worksheet xmlns:x="http://schemas.openxmlformats.org/spreadsheetml/2006/main">
  <x:sheetPr>
    <x:tabColor rgb="FF2F6B5E"/>
  </x:sheetPr>
  <x:sheetViews>
    <x:sheetView showGridLines="0" workbookViewId="0">
      <x:pane ySplit="4" topLeftCell="A5" activePane="bottomLeft" state="frozen"/>
    </x:sheetView>
  </x:sheetViews>
  <x:sheetFormatPr defaultColWidth="8.6796875" defaultRowHeight="15"/>
  <x:cols>
    <x:col min="1" max="1" width="38" style="1" hidden="0" customWidth="1"/>
    <x:col min="2" max="5" width="16" style="1" hidden="0" customWidth="1"/>
    <x:col min="6" max="6" width="16" hidden="0" customWidth="1"/>
    <x:col min="7" max="7" width="16" hidden="0" customWidth="1"/>
    <x:col min="8" max="8" width="16" hidden="0" customWidth="1"/>
  </x:cols>
  <x:sheetData>
    <x:row r="1" ht="31.5" hidden="0" customHeight="1">
      <x:c r="A1" s="9" t="str">
        <x:v>Historical Top-Decile Capture and False Positives</x:v>
      </x:c>
      <x:c r="B1" s="9" t="str">
        <x:v>Historical Top-Decile Capture and False Positives</x:v>
      </x:c>
      <x:c r="C1" s="9" t="str">
        <x:v>Historical Top-Decile Capture and False Positives</x:v>
      </x:c>
      <x:c r="D1" s="9" t="str">
        <x:v>Historical Top-Decile Capture and False Positives</x:v>
      </x:c>
      <x:c r="E1" s="9" t="str">
        <x:v>Historical Top-Decile Capture and False Positives</x:v>
      </x:c>
      <x:c r="F1" t="str">
        <x:v>Historical Top-Decile Capture and False Positives</x:v>
      </x:c>
      <x:c r="G1" t="str">
        <x:v>Historical Top-Decile Capture and False Positives</x:v>
      </x:c>
      <x:c r="H1" t="str">
        <x:v>Historical Top-Decile Capture and False Positives</x:v>
      </x:c>
    </x:row>
    <x:row r="2" ht="33.75" hidden="0" customHeight="1">
      <x:c r="A2" s="10" t="str">
        <x:v>Corrected 149-bank sample. The top-decile cutoff is 15 banks for each signal with complete data.</x:v>
      </x:c>
      <x:c r="B2" s="10" t="str">
        <x:v>Corrected 149-bank sample. The top-decile cutoff is 15 banks for each signal with complete data.</x:v>
      </x:c>
      <x:c r="C2" s="10" t="str">
        <x:v>Corrected 149-bank sample. The top-decile cutoff is 15 banks for each signal with complete data.</x:v>
      </x:c>
      <x:c r="D2" s="10" t="str">
        <x:v>Corrected 149-bank sample. The top-decile cutoff is 15 banks for each signal with complete data.</x:v>
      </x:c>
      <x:c r="E2" s="10" t="str">
        <x:v>Corrected 149-bank sample. The top-decile cutoff is 15 banks for each signal with complete data.</x:v>
      </x:c>
      <x:c r="F2" t="str">
        <x:v>Corrected 149-bank sample. The top-decile cutoff is 15 banks for each signal with complete data.</x:v>
      </x:c>
      <x:c r="G2" t="str">
        <x:v>Corrected 149-bank sample. The top-decile cutoff is 15 banks for each signal with complete data.</x:v>
      </x:c>
      <x:c r="H2" t="str">
        <x:v>Corrected 149-bank sample. The top-decile cutoff is 15 banks for each signal with complete data.</x:v>
      </x:c>
    </x:row>
    <x:row r="4" ht="34" hidden="0" customHeight="1">
      <x:c r="A4" s="115" t="str">
        <x:v>Signal</x:v>
      </x:c>
      <x:c r="B4" s="115" t="str">
        <x:v>Top-decile institutions</x:v>
      </x:c>
      <x:c r="C4" s="115" t="str">
        <x:v>Failures in sample</x:v>
      </x:c>
      <x:c r="D4" s="115" t="str">
        <x:v>Failures captured</x:v>
      </x:c>
      <x:c r="E4" s="115" t="str">
        <x:v>Capture rate</x:v>
      </x:c>
      <x:c r="F4" s="53" t="str">
        <x:v>False positives</x:v>
      </x:c>
      <x:c r="G4" s="53" t="str">
        <x:v>Precision</x:v>
      </x:c>
      <x:c r="H4" s="54" t="str">
        <x:v>False-positive share</x:v>
      </x:c>
    </x:row>
    <x:row r="5" ht="15" hidden="0">
      <x:c r="A5" s="116" t="str">
        <x:v>Trigger-augmented integrated score</x:v>
      </x:c>
      <x:c r="B5" s="116" t="n">
        <x:f>'Robustness Check'!F11</x:f>
        <x:v>15</x:v>
      </x:c>
      <x:c r="C5" s="116" t="n">
        <x:v>3</x:v>
      </x:c>
      <x:c r="D5" s="116" t="n">
        <x:f>'Robustness Check'!G11</x:f>
        <x:v>3</x:v>
      </x:c>
      <x:c r="E5" s="117" t="n">
        <x:f>'Robustness Check'!H11</x:f>
        <x:v>1</x:v>
      </x:c>
      <x:c r="F5" s="59" t="n">
        <x:f>'Robustness Check'!I11</x:f>
        <x:v>12</x:v>
      </x:c>
      <x:c r="G5" s="103" t="n">
        <x:f>'Robustness Check'!J11</x:f>
        <x:v>0.2</x:v>
      </x:c>
      <x:c r="H5" s="103" t="n">
        <x:f>'Robustness Check'!K11</x:f>
        <x:v>0.8</x:v>
      </x:c>
    </x:row>
    <x:row r="6" ht="15" hidden="0">
      <x:c r="A6" s="116" t="str">
        <x:v>Baseline weighted score</x:v>
      </x:c>
      <x:c r="B6" s="116" t="n">
        <x:f>'Robustness Check'!F12</x:f>
        <x:v>15</x:v>
      </x:c>
      <x:c r="C6" s="116" t="n">
        <x:v>3</x:v>
      </x:c>
      <x:c r="D6" s="116" t="n">
        <x:f>'Robustness Check'!G12</x:f>
        <x:v>1</x:v>
      </x:c>
      <x:c r="E6" s="117" t="n">
        <x:f>'Robustness Check'!H12</x:f>
        <x:v>0.3333333333333333</x:v>
      </x:c>
      <x:c r="F6" s="59" t="n">
        <x:f>'Robustness Check'!I12</x:f>
        <x:v>14</x:v>
      </x:c>
      <x:c r="G6" s="103" t="n">
        <x:f>'Robustness Check'!J12</x:f>
        <x:v>0.06666666666666667</x:v>
      </x:c>
      <x:c r="H6" s="103" t="n">
        <x:f>'Robustness Check'!K12</x:f>
        <x:v>0.9333333333333333</x:v>
      </x:c>
    </x:row>
    <x:row r="7" ht="15" hidden="0">
      <x:c r="A7" s="116" t="str">
        <x:v>Uninsured deposits / deposits</x:v>
      </x:c>
      <x:c r="B7" s="116" t="n">
        <x:f>'Robustness Check'!F13</x:f>
        <x:v>15</x:v>
      </x:c>
      <x:c r="C7" s="116" t="n">
        <x:v>3</x:v>
      </x:c>
      <x:c r="D7" s="116" t="n">
        <x:f>'Robustness Check'!G13</x:f>
        <x:v>3</x:v>
      </x:c>
      <x:c r="E7" s="117" t="n">
        <x:f>'Robustness Check'!H13</x:f>
        <x:v>1</x:v>
      </x:c>
      <x:c r="F7" s="59" t="n">
        <x:f>'Robustness Check'!I13</x:f>
        <x:v>12</x:v>
      </x:c>
      <x:c r="G7" s="103" t="n">
        <x:f>'Robustness Check'!J13</x:f>
        <x:v>0.2</x:v>
      </x:c>
      <x:c r="H7" s="103" t="n">
        <x:f>'Robustness Check'!K13</x:f>
        <x:v>0.8</x:v>
      </x:c>
    </x:row>
    <x:row r="8" ht="15" hidden="0">
      <x:c r="A8" s="116" t="str">
        <x:v>Securities MTM gap / equity</x:v>
      </x:c>
      <x:c r="B8" s="116" t="n">
        <x:f>'Robustness Check'!F14</x:f>
        <x:v>15</x:v>
      </x:c>
      <x:c r="C8" s="116" t="n">
        <x:v>3</x:v>
      </x:c>
      <x:c r="D8" s="116" t="n">
        <x:f>'Robustness Check'!G14</x:f>
        <x:v>2</x:v>
      </x:c>
      <x:c r="E8" s="117" t="n">
        <x:f>'Robustness Check'!H14</x:f>
        <x:v>0.6666666666666666</x:v>
      </x:c>
      <x:c r="F8" s="59" t="n">
        <x:f>'Robustness Check'!I14</x:f>
        <x:v>13</x:v>
      </x:c>
      <x:c r="G8" s="103" t="n">
        <x:f>'Robustness Check'!J14</x:f>
        <x:v>0.13333333333333333</x:v>
      </x:c>
      <x:c r="H8" s="103" t="n">
        <x:f>'Robustness Check'!K14</x:f>
        <x:v>0.8666666666666667</x:v>
      </x:c>
    </x:row>
    <x:row r="9" ht="15" hidden="0">
      <x:c r="A9" s="116" t="str">
        <x:v>Securities / assets</x:v>
      </x:c>
      <x:c r="B9" s="116" t="n">
        <x:f>'Robustness Check'!F15</x:f>
        <x:v>15</x:v>
      </x:c>
      <x:c r="C9" s="116" t="n">
        <x:v>3</x:v>
      </x:c>
      <x:c r="D9" s="116" t="n">
        <x:f>'Robustness Check'!G15</x:f>
        <x:v>1</x:v>
      </x:c>
      <x:c r="E9" s="117" t="n">
        <x:f>'Robustness Check'!H15</x:f>
        <x:v>0.3333333333333333</x:v>
      </x:c>
      <x:c r="F9" s="59" t="n">
        <x:f>'Robustness Check'!I15</x:f>
        <x:v>14</x:v>
      </x:c>
      <x:c r="G9" s="103" t="n">
        <x:f>'Robustness Check'!J15</x:f>
        <x:v>0.06666666666666667</x:v>
      </x:c>
      <x:c r="H9" s="103" t="n">
        <x:f>'Robustness Check'!K15</x:f>
        <x:v>0.9333333333333333</x:v>
      </x:c>
    </x:row>
    <x:row r="10" ht="15" hidden="0">
      <x:c r="A10" s="116" t="str">
        <x:v>Noncurrent loans / loans</x:v>
      </x:c>
      <x:c r="B10" s="116" t="n">
        <x:f>'Robustness Check'!F16</x:f>
        <x:v>15</x:v>
      </x:c>
      <x:c r="C10" s="116" t="n">
        <x:v>3</x:v>
      </x:c>
      <x:c r="D10" s="116" t="n">
        <x:f>'Robustness Check'!G16</x:f>
        <x:v>0</x:v>
      </x:c>
      <x:c r="E10" s="117" t="n">
        <x:f>'Robustness Check'!H16</x:f>
        <x:v>0</x:v>
      </x:c>
      <x:c r="F10" s="59" t="n">
        <x:f>'Robustness Check'!I16</x:f>
        <x:v>15</x:v>
      </x:c>
      <x:c r="G10" s="103" t="n">
        <x:f>'Robustness Check'!J16</x:f>
        <x:v>0</x:v>
      </x:c>
      <x:c r="H10" s="103" t="n">
        <x:f>'Robustness Check'!K16</x:f>
        <x:v>1</x:v>
      </x:c>
    </x:row>
    <x:row r="11" ht="15" hidden="0">
      <x:c r="A11" s="116" t="str">
        <x:v>Capital / assets</x:v>
      </x:c>
      <x:c r="B11" s="116" t="n">
        <x:f>'Robustness Check'!F17</x:f>
        <x:v>15</x:v>
      </x:c>
      <x:c r="C11" s="116" t="n">
        <x:v>3</x:v>
      </x:c>
      <x:c r="D11" s="116" t="n">
        <x:f>'Robustness Check'!G17</x:f>
        <x:v>0</x:v>
      </x:c>
      <x:c r="E11" s="117" t="n">
        <x:f>'Robustness Check'!H17</x:f>
        <x:v>0</x:v>
      </x:c>
      <x:c r="F11" s="59" t="n">
        <x:f>'Robustness Check'!I17</x:f>
        <x:v>15</x:v>
      </x:c>
      <x:c r="G11" s="103" t="n">
        <x:f>'Robustness Check'!J17</x:f>
        <x:v>0</x:v>
      </x:c>
      <x:c r="H11" s="103" t="n">
        <x:f>'Robustness Check'!K17</x:f>
        <x:v>1</x:v>
      </x:c>
    </x:row>
    <x:row r="12" ht="15" hidden="0">
      <x:c r="A12" s="118" t="str">
        <x:v>Cash / assets</x:v>
      </x:c>
      <x:c r="B12" s="118" t="n">
        <x:f>'Robustness Check'!F18</x:f>
        <x:v>15</x:v>
      </x:c>
      <x:c r="C12" s="118" t="n">
        <x:v>3</x:v>
      </x:c>
      <x:c r="D12" s="118" t="n">
        <x:f>'Robustness Check'!G18</x:f>
        <x:v>0</x:v>
      </x:c>
      <x:c r="E12" s="119" t="n">
        <x:f>'Robustness Check'!H18</x:f>
        <x:v>0</x:v>
      </x:c>
      <x:c r="F12" s="61" t="n">
        <x:f>'Robustness Check'!I18</x:f>
        <x:v>15</x:v>
      </x:c>
      <x:c r="G12" s="104" t="n">
        <x:f>'Robustness Check'!J18</x:f>
        <x:v>0</x:v>
      </x:c>
      <x:c r="H12" s="104" t="n">
        <x:f>'Robustness Check'!K18</x:f>
        <x:v>1</x:v>
      </x:c>
    </x:row>
  </x:sheetData>
  <x:mergeCells>
    <x:mergeCell ref="A1:H1"/>
    <x:mergeCell ref="A2:H2"/>
  </x:mergeCells>
  <x:pageMargins left="0.7" right="0.7" top="0.75" bottom="0.75" header="0.3" footer="0.3"/>
  <x:drawing xmlns:r="http://schemas.openxmlformats.org/officeDocument/2006/relationships" r:id="R031691513b22431f"/>
  <x:tableParts count="1">
    <x:tablePart xmlns:r="http://schemas.openxmlformats.org/officeDocument/2006/relationships" r:id="R830671f861fc469b"/>
  </x:tableParts>
</x:worksheet>
</file>

<file path=xl/worksheets/sheet9.xml><?xml version="1.0" encoding="utf-8"?>
<x:worksheet xmlns:x="http://schemas.openxmlformats.org/spreadsheetml/2006/main">
  <x:sheetPr>
    <x:tabColor rgb="FF2F75B5"/>
  </x:sheetPr>
  <x:sheetViews>
    <x:sheetView showGridLines="0" workbookViewId="0">
      <x:pane ySplit="4" topLeftCell="A5" activePane="bottomLeft" state="frozen"/>
    </x:sheetView>
  </x:sheetViews>
  <x:sheetFormatPr defaultColWidth="8.6796875" defaultRowHeight="15"/>
  <x:cols>
    <x:col min="1" max="1" width="32" style="1" hidden="0" customWidth="1"/>
    <x:col min="2" max="2" width="20" style="1" hidden="0" customWidth="1"/>
    <x:col min="3" max="7" width="15" style="1" hidden="0" customWidth="1"/>
  </x:cols>
  <x:sheetData>
    <x:row r="1" ht="31.5" hidden="0" customHeight="1">
      <x:c r="A1" s="9" t="s">
        <x:v>56</x:v>
      </x:c>
      <x:c r="B1" s="9"/>
      <x:c r="C1" s="9"/>
      <x:c r="D1" s="9"/>
      <x:c r="E1" s="9"/>
      <x:c r="F1" s="9"/>
      <x:c r="G1" s="9"/>
    </x:row>
    <x:row r="2" ht="33.75" hidden="0" customHeight="1">
      <x:c r="A2" s="10" t="s">
        <x:v>57</x:v>
      </x:c>
      <x:c r="B2" s="10"/>
      <x:c r="C2" s="10"/>
      <x:c r="D2" s="10"/>
      <x:c r="E2" s="10"/>
      <x:c r="F2" s="10"/>
      <x:c r="G2" s="10"/>
    </x:row>
    <x:row r="4" ht="34" hidden="0" customHeight="1">
      <x:c r="A4" s="52" t="str">
        <x:v>Metric</x:v>
      </x:c>
      <x:c r="B4" s="53" t="str">
        <x:v>Cohort</x:v>
      </x:c>
      <x:c r="C4" s="53" t="str">
        <x:v>Count</x:v>
      </x:c>
      <x:c r="D4" s="53" t="str">
        <x:v>Median</x:v>
      </x:c>
      <x:c r="E4" s="53" t="str">
        <x:v>Mean</x:v>
      </x:c>
      <x:c r="F4" s="53" t="str">
        <x:v>25th percentile</x:v>
      </x:c>
      <x:c r="G4" s="54" t="str">
        <x:v>75th percentile</x:v>
      </x:c>
    </x:row>
    <x:row r="5" ht="15" hidden="0">
      <x:c r="A5" s="59" t="str">
        <x:v>capital_ratio</x:v>
      </x:c>
      <x:c r="B5" s="59" t="str">
        <x:v>2023 failed banks</x:v>
      </x:c>
      <x:c r="C5" s="59" t="n">
        <x:v>3</x:v>
      </x:c>
      <x:c r="D5" s="65" t="n">
        <x:v>0.07394295446499478</x:v>
      </x:c>
      <x:c r="E5" s="65" t="n">
        <x:v>0.07619805321709455</x:v>
      </x:c>
      <x:c r="F5" s="65" t="n">
        <x:v>0.07327464861184195</x:v>
      </x:c>
      <x:c r="G5" s="65" t="n">
        <x:v>0.07799390844629728</x:v>
      </x:c>
    </x:row>
    <x:row r="6" ht="15" hidden="0">
      <x:c r="A6" s="59" t="str">
        <x:v>capital_ratio</x:v>
      </x:c>
      <x:c r="B6" s="59" t="str">
        <x:v>Other peers</x:v>
      </x:c>
      <x:c r="C6" s="59" t="n">
        <x:v>142</x:v>
      </x:c>
      <x:c r="D6" s="65" t="n">
        <x:v>0.09941477698401954</x:v>
      </x:c>
      <x:c r="E6" s="65" t="n">
        <x:v>0.10167850353558168</x:v>
      </x:c>
      <x:c r="F6" s="65" t="n">
        <x:v>0.08410483785364256</x:v>
      </x:c>
      <x:c r="G6" s="65" t="n">
        <x:v>0.11825771884149501</x:v>
      </x:c>
    </x:row>
    <x:row r="7" ht="15" hidden="0">
      <x:c r="A7" s="59" t="str">
        <x:v>cash_ratio</x:v>
      </x:c>
      <x:c r="B7" s="59" t="str">
        <x:v>2023 failed banks</x:v>
      </x:c>
      <x:c r="C7" s="59" t="n">
        <x:v>3</x:v>
      </x:c>
      <x:c r="D7" s="65" t="n">
        <x:v>0.05494118761023217</x:v>
      </x:c>
      <x:c r="E7" s="65" t="n">
        <x:v>0.04497935396465791</x:v>
      </x:c>
      <x:c r="F7" s="65" t="n">
        <x:v>0.03754213190093518</x:v>
      </x:c>
      <x:c r="G7" s="65" t="n">
        <x:v>0.05739749285116777</x:v>
      </x:c>
    </x:row>
    <x:row r="8" ht="15" hidden="0">
      <x:c r="A8" s="59" t="str">
        <x:v>cash_ratio</x:v>
      </x:c>
      <x:c r="B8" s="59" t="str">
        <x:v>Other peers</x:v>
      </x:c>
      <x:c r="C8" s="59" t="n">
        <x:v>146</x:v>
      </x:c>
      <x:c r="D8" s="65" t="n">
        <x:v>0.035701134164794465</x:v>
      </x:c>
      <x:c r="E8" s="65" t="n">
        <x:v>0.06874325565635664</x:v>
      </x:c>
      <x:c r="F8" s="65" t="n">
        <x:v>0.021423234954506973</x:v>
      </x:c>
      <x:c r="G8" s="65" t="n">
        <x:v>0.07425572261183545</x:v>
      </x:c>
    </x:row>
    <x:row r="9" ht="15" hidden="0">
      <x:c r="A9" s="59" t="str">
        <x:v>securities_ratio</x:v>
      </x:c>
      <x:c r="B9" s="59" t="str">
        <x:v>2023 failed banks</x:v>
      </x:c>
      <x:c r="C9" s="59" t="n">
        <x:v>3</x:v>
      </x:c>
      <x:c r="D9" s="65" t="n">
        <x:v>0.23696926478962957</x:v>
      </x:c>
      <x:c r="E9" s="65" t="n">
        <x:v>0.3157655590738854</x:v>
      </x:c>
      <x:c r="F9" s="65" t="n">
        <x:v>0.19306841075496334</x:v>
      </x:c>
      <x:c r="G9" s="65" t="n">
        <x:v>0.3990645602506796</x:v>
      </x:c>
    </x:row>
    <x:row r="10" ht="15" hidden="0">
      <x:c r="A10" s="59" t="str">
        <x:v>securities_ratio</x:v>
      </x:c>
      <x:c r="B10" s="59" t="str">
        <x:v>Other peers</x:v>
      </x:c>
      <x:c r="C10" s="59" t="n">
        <x:v>146</x:v>
      </x:c>
      <x:c r="D10" s="65" t="n">
        <x:v>0.1845174278252336</x:v>
      </x:c>
      <x:c r="E10" s="65" t="n">
        <x:v>0.21647194810250023</x:v>
      </x:c>
      <x:c r="F10" s="65" t="n">
        <x:v>0.11844498238353475</x:v>
      </x:c>
      <x:c r="G10" s="65" t="n">
        <x:v>0.2618744198338855</x:v>
      </x:c>
    </x:row>
    <x:row r="11" ht="15" hidden="0">
      <x:c r="A11" s="59" t="str">
        <x:v>securities_mtm_gap_to_equity</x:v>
      </x:c>
      <x:c r="B11" s="59" t="str">
        <x:v>2023 failed banks</x:v>
      </x:c>
      <x:c r="C11" s="59" t="n">
        <x:v>3</x:v>
      </x:c>
      <x:c r="D11" s="65" t="n">
        <x:v>0.27425432881841133</x:v>
      </x:c>
      <x:c r="E11" s="65" t="n">
        <x:v>0.44992205081321446</x:v>
      </x:c>
      <x:c r="F11" s="65" t="n">
        <x:v>0.18468509485336204</x:v>
      </x:c>
      <x:c r="G11" s="65" t="n">
        <x:v>0.6273251457756653</x:v>
      </x:c>
    </x:row>
    <x:row r="12" ht="15" hidden="0">
      <x:c r="A12" s="59" t="str">
        <x:v>securities_mtm_gap_to_equity</x:v>
      </x:c>
      <x:c r="B12" s="59" t="str">
        <x:v>Other peers</x:v>
      </x:c>
      <x:c r="C12" s="59" t="n">
        <x:v>142</x:v>
      </x:c>
      <x:c r="D12" s="65" t="n">
        <x:v>0.040511630928622006</x:v>
      </x:c>
      <x:c r="E12" s="65" t="n">
        <x:v>0.10480517861457796</x:v>
      </x:c>
      <x:c r="F12" s="65" t="n">
        <x:v>0.0033958150324752694</x:v>
      </x:c>
      <x:c r="G12" s="65" t="n">
        <x:v>0.09687079261675854</x:v>
      </x:c>
    </x:row>
    <x:row r="13" ht="15" hidden="0">
      <x:c r="A13" s="59" t="str">
        <x:v>uninsured_deposit_ratio</x:v>
      </x:c>
      <x:c r="B13" s="59" t="str">
        <x:v>2023 failed banks</x:v>
      </x:c>
      <x:c r="C13" s="59" t="n">
        <x:v>3</x:v>
      </x:c>
      <x:c r="D13" s="65" t="n">
        <x:v>0.8643729544184562</x:v>
      </x:c>
      <x:c r="E13" s="65" t="n">
        <x:v>0.8127337528434021</x:v>
      </x:c>
      <x:c r="F13" s="65" t="n">
        <x:v>0.7707519625567045</x:v>
      </x:c>
      <x:c r="G13" s="65" t="n">
        <x:v>0.8805351439176268</x:v>
      </x:c>
    </x:row>
    <x:row r="14" ht="15" hidden="0">
      <x:c r="A14" s="59" t="str">
        <x:v>uninsured_deposit_ratio</x:v>
      </x:c>
      <x:c r="B14" s="59" t="str">
        <x:v>Other peers</x:v>
      </x:c>
      <x:c r="C14" s="59" t="n">
        <x:v>146</x:v>
      </x:c>
      <x:c r="D14" s="65" t="n">
        <x:v>0.41104905515961965</x:v>
      </x:c>
      <x:c r="E14" s="65" t="n">
        <x:v>0.3894496896632281</x:v>
      </x:c>
      <x:c r="F14" s="65" t="n">
        <x:v>0.3088715571907798</x:v>
      </x:c>
      <x:c r="G14" s="65" t="n">
        <x:v>0.5153170272088088</x:v>
      </x:c>
    </x:row>
    <x:row r="15" ht="15" hidden="0">
      <x:c r="A15" s="59" t="str">
        <x:v>noncurrent_loan_ratio</x:v>
      </x:c>
      <x:c r="B15" s="59" t="str">
        <x:v>2023 failed banks</x:v>
      </x:c>
      <x:c r="C15" s="59" t="n">
        <x:v>3</x:v>
      </x:c>
      <x:c r="D15" s="65" t="n">
        <x:v>0.0018720790852402053</x:v>
      </x:c>
      <x:c r="E15" s="65" t="n">
        <x:v>0.0019036167302705163</x:v>
      </x:c>
      <x:c r="F15" s="65" t="n">
        <x:v>0.0012619512101547244</x:v>
      </x:c>
      <x:c r="G15" s="65" t="n">
        <x:v>0.0025295134278711523</x:v>
      </x:c>
    </x:row>
    <x:row r="16" ht="15" hidden="0">
      <x:c r="A16" s="59" t="str">
        <x:v>noncurrent_loan_ratio</x:v>
      </x:c>
      <x:c r="B16" s="59" t="str">
        <x:v>Other peers</x:v>
      </x:c>
      <x:c r="C16" s="59" t="n">
        <x:v>145</x:v>
      </x:c>
      <x:c r="D16" s="65" t="n">
        <x:v>0.0038259296167220984</x:v>
      </x:c>
      <x:c r="E16" s="65" t="n">
        <x:v>0.007136926360174317</x:v>
      </x:c>
      <x:c r="F16" s="65" t="n">
        <x:v>0.002143635225241603</x:v>
      </x:c>
      <x:c r="G16" s="65" t="n">
        <x:v>0.006410317437097973</x:v>
      </x:c>
    </x:row>
    <x:row r="17" ht="15" hidden="0">
      <x:c r="A17" s="59" t="str">
        <x:v>early_delinquency_ratio</x:v>
      </x:c>
      <x:c r="B17" s="59" t="str">
        <x:v>2023 failed banks</x:v>
      </x:c>
      <x:c r="C17" s="59" t="n">
        <x:v>3</x:v>
      </x:c>
      <x:c r="D17" s="65" t="n">
        <x:v>0.0012872258797226534</x:v>
      </x:c>
      <x:c r="E17" s="65" t="n">
        <x:v>0.0009582441604841633</x:v>
      </x:c>
      <x:c r="F17" s="65" t="n">
        <x:v>0.0007168178158316336</x:v>
      </x:c>
      <x:c r="G17" s="65" t="n">
        <x:v>0.0013641613647559381</x:v>
      </x:c>
    </x:row>
    <x:row r="18" ht="15" hidden="0">
      <x:c r="A18" s="59" t="str">
        <x:v>early_delinquency_ratio</x:v>
      </x:c>
      <x:c r="B18" s="59" t="str">
        <x:v>Other peers</x:v>
      </x:c>
      <x:c r="C18" s="59" t="n">
        <x:v>145</x:v>
      </x:c>
      <x:c r="D18" s="65" t="n">
        <x:v>0.0022233935457357684</x:v>
      </x:c>
      <x:c r="E18" s="65" t="n">
        <x:v>0.004256908171198554</x:v>
      </x:c>
      <x:c r="F18" s="65" t="n">
        <x:v>0.0011540673841652035</x:v>
      </x:c>
      <x:c r="G18" s="65" t="n">
        <x:v>0.004763018468757335</x:v>
      </x:c>
    </x:row>
    <x:row r="19" ht="15" hidden="0">
      <x:c r="A19" s="59" t="str">
        <x:v>integrated_score</x:v>
      </x:c>
      <x:c r="B19" s="59" t="str">
        <x:v>2023 failed banks</x:v>
      </x:c>
      <x:c r="C19" s="59" t="n">
        <x:v>3</x:v>
      </x:c>
      <x:c r="D19" s="63" t="n">
        <x:v>78.26600796580571</x:v>
      </x:c>
      <x:c r="E19" s="63" t="n">
        <x:v>78.67107404189424</x:v>
      </x:c>
      <x:c r="F19" s="63" t="n">
        <x:v>77.24437392550556</x:v>
      </x:c>
      <x:c r="G19" s="63" t="n">
        <x:v>79.89524112023867</x:v>
      </x:c>
    </x:row>
    <x:row r="20" ht="15" hidden="0">
      <x:c r="A20" s="61" t="str">
        <x:v>integrated_score</x:v>
      </x:c>
      <x:c r="B20" s="61" t="str">
        <x:v>Other peers</x:v>
      </x:c>
      <x:c r="C20" s="61" t="n">
        <x:v>141</x:v>
      </x:c>
      <x:c r="D20" s="64" t="n">
        <x:v>56.14124808112413</x:v>
      </x:c>
      <x:c r="E20" s="64" t="n">
        <x:v>54.35606329070697</x:v>
      </x:c>
      <x:c r="F20" s="64" t="n">
        <x:v>44.03454290914378</x:v>
      </x:c>
      <x:c r="G20" s="64" t="n">
        <x:v>66.49336588700547</x:v>
      </x:c>
    </x:row>
  </x:sheetData>
  <x:mergeCells>
    <x:mergeCell ref="A1:G1"/>
    <x:mergeCell ref="A2:G2"/>
  </x:mergeCells>
  <x:pageMargins left="0.7" right="0.7" top="0.75" bottom="0.75" header="0.3" footer="0.3"/>
  <x:tableParts count="1">
    <x:tablePart xmlns:r="http://schemas.openxmlformats.org/officeDocument/2006/relationships" r:id="R40fec28c294544be"/>
  </x:tableParts>
</x:worksheet>
</file>

<file path=xl/worksheets/sheet10.xml><?xml version="1.0" encoding="utf-8"?>
<x:worksheet xmlns:x="http://schemas.openxmlformats.org/spreadsheetml/2006/main">
  <x:sheetPr>
    <x:tabColor rgb="FF2F75B5"/>
  </x:sheetPr>
  <x:sheetViews>
    <x:sheetView showGridLines="0" workbookViewId="0">
      <x:pane xSplit="2" ySplit="4" topLeftCell="C5" activePane="bottomRight" state="frozen"/>
    </x:sheetView>
  </x:sheetViews>
  <x:sheetFormatPr defaultColWidth="8.6796875" defaultRowHeight="15"/>
  <x:cols>
    <x:col min="1" max="1" width="27" style="1" hidden="0" customWidth="1"/>
    <x:col min="2" max="2" width="24" style="1" hidden="0" customWidth="1"/>
    <x:col min="3" max="3" width="12" style="1" hidden="0" customWidth="1"/>
    <x:col min="4" max="13" width="14" style="1" hidden="0" customWidth="1"/>
    <x:col min="14" max="17" width="12" style="1" hidden="0" customWidth="1"/>
    <x:col min="18" max="20" width="14" style="1" hidden="0" customWidth="1"/>
  </x:cols>
  <x:sheetData>
    <x:row r="1" ht="31.5" hidden="0" customHeight="1">
      <x:c r="A1" s="9" t="str">
        <x:v>2022Q4 Peer Metrics</x:v>
      </x:c>
      <x:c r="B1" s="9" t="str">
        <x:v>2022Q4 Peer Metrics</x:v>
      </x:c>
      <x:c r="C1" s="9" t="str">
        <x:v>2022Q4 Peer Metrics</x:v>
      </x:c>
      <x:c r="D1" s="9" t="str">
        <x:v>2022Q4 Peer Metrics</x:v>
      </x:c>
      <x:c r="E1" s="9" t="str">
        <x:v>2022Q4 Peer Metrics</x:v>
      </x:c>
      <x:c r="F1" s="9" t="str">
        <x:v>2022Q4 Peer Metrics</x:v>
      </x:c>
      <x:c r="G1" s="9" t="str">
        <x:v>2022Q4 Peer Metrics</x:v>
      </x:c>
      <x:c r="H1" s="9" t="str">
        <x:v>2022Q4 Peer Metrics</x:v>
      </x:c>
      <x:c r="I1" s="9" t="str">
        <x:v>2022Q4 Peer Metrics</x:v>
      </x:c>
      <x:c r="J1" s="9" t="str">
        <x:v>2022Q4 Peer Metrics</x:v>
      </x:c>
      <x:c r="K1" s="9" t="str">
        <x:v>2022Q4 Peer Metrics</x:v>
      </x:c>
      <x:c r="L1" s="9" t="str">
        <x:v>2022Q4 Peer Metrics</x:v>
      </x:c>
      <x:c r="M1" s="9" t="str">
        <x:v>2022Q4 Peer Metrics</x:v>
      </x:c>
      <x:c r="N1" s="9" t="str">
        <x:v>2022Q4 Peer Metrics</x:v>
      </x:c>
      <x:c r="O1" s="9" t="str">
        <x:v>2022Q4 Peer Metrics</x:v>
      </x:c>
      <x:c r="P1" s="9" t="str">
        <x:v>2022Q4 Peer Metrics</x:v>
      </x:c>
      <x:c r="Q1" s="9" t="str">
        <x:v>2022Q4 Peer Metrics</x:v>
      </x:c>
      <x:c r="R1" s="9" t="str">
        <x:v>2022Q4 Peer Metrics</x:v>
      </x:c>
      <x:c r="S1" s="9" t="str">
        <x:v>2022Q4 Peer Metrics</x:v>
      </x:c>
      <x:c r="T1" s="9" t="str">
        <x:v>2022Q4 Peer Metrics</x:v>
      </x:c>
    </x:row>
    <x:row r="2" ht="33.75" hidden="0" customHeight="1">
      <x:c r="A2" s="10" t="str">
        <x:v>Corrected $10bn-$250bn sample. Scores were recomputed after local filtering. Nonfailed institutions are anonymized for filing.</x:v>
      </x:c>
      <x:c r="B2" s="10" t="str">
        <x:v>Corrected $10bn-$250bn sample. Scores were recomputed after local filtering. Nonfailed institutions are anonymized for filing.</x:v>
      </x:c>
      <x:c r="C2" s="10" t="str">
        <x:v>Corrected $10bn-$250bn sample. Scores were recomputed after local filtering. Nonfailed institutions are anonymized for filing.</x:v>
      </x:c>
      <x:c r="D2" s="10" t="str">
        <x:v>Corrected $10bn-$250bn sample. Scores were recomputed after local filtering. Nonfailed institutions are anonymized for filing.</x:v>
      </x:c>
      <x:c r="E2" s="10" t="str">
        <x:v>Corrected $10bn-$250bn sample. Scores were recomputed after local filtering. Nonfailed institutions are anonymized for filing.</x:v>
      </x:c>
      <x:c r="F2" s="10" t="str">
        <x:v>Corrected $10bn-$250bn sample. Scores were recomputed after local filtering. Nonfailed institutions are anonymized for filing.</x:v>
      </x:c>
      <x:c r="G2" s="10" t="str">
        <x:v>Corrected $10bn-$250bn sample. Scores were recomputed after local filtering. Nonfailed institutions are anonymized for filing.</x:v>
      </x:c>
      <x:c r="H2" s="10" t="str">
        <x:v>Corrected $10bn-$250bn sample. Scores were recomputed after local filtering. Nonfailed institutions are anonymized for filing.</x:v>
      </x:c>
      <x:c r="I2" s="10" t="str">
        <x:v>Corrected $10bn-$250bn sample. Scores were recomputed after local filtering. Nonfailed institutions are anonymized for filing.</x:v>
      </x:c>
      <x:c r="J2" s="10" t="str">
        <x:v>Corrected $10bn-$250bn sample. Scores were recomputed after local filtering. Nonfailed institutions are anonymized for filing.</x:v>
      </x:c>
      <x:c r="K2" s="10" t="str">
        <x:v>Corrected $10bn-$250bn sample. Scores were recomputed after local filtering. Nonfailed institutions are anonymized for filing.</x:v>
      </x:c>
      <x:c r="L2" s="10" t="str">
        <x:v>Corrected $10bn-$250bn sample. Scores were recomputed after local filtering. Nonfailed institutions are anonymized for filing.</x:v>
      </x:c>
      <x:c r="M2" s="10" t="str">
        <x:v>Corrected $10bn-$250bn sample. Scores were recomputed after local filtering. Nonfailed institutions are anonymized for filing.</x:v>
      </x:c>
      <x:c r="N2" s="10" t="str">
        <x:v>Corrected $10bn-$250bn sample. Scores were recomputed after local filtering. Nonfailed institutions are anonymized for filing.</x:v>
      </x:c>
      <x:c r="O2" s="10" t="str">
        <x:v>Corrected $10bn-$250bn sample. Scores were recomputed after local filtering. Nonfailed institutions are anonymized for filing.</x:v>
      </x:c>
      <x:c r="P2" s="10" t="str">
        <x:v>Corrected $10bn-$250bn sample. Scores were recomputed after local filtering. Nonfailed institutions are anonymized for filing.</x:v>
      </x:c>
      <x:c r="Q2" s="10" t="str">
        <x:v>Corrected $10bn-$250bn sample. Scores were recomputed after local filtering. Nonfailed institutions are anonymized for filing.</x:v>
      </x:c>
      <x:c r="R2" s="10" t="str">
        <x:v>Corrected $10bn-$250bn sample. Scores were recomputed after local filtering. Nonfailed institutions are anonymized for filing.</x:v>
      </x:c>
      <x:c r="S2" s="10" t="str">
        <x:v>Corrected $10bn-$250bn sample. Scores were recomputed after local filtering. Nonfailed institutions are anonymized for filing.</x:v>
      </x:c>
      <x:c r="T2" s="10" t="str">
        <x:v>Corrected $10bn-$250bn sample. Scores were recomputed after local filtering. Nonfailed institutions are anonymized for filing.</x:v>
      </x:c>
    </x:row>
    <x:row r="4" ht="34" hidden="0" customHeight="1">
      <x:c r="A4" s="52" t="str">
        <x:v>Institution</x:v>
      </x:c>
      <x:c r="B4" s="53" t="str">
        <x:v>2023 outcome group</x:v>
      </x:c>
      <x:c r="C4" s="53" t="str">
        <x:v>Assets ($bn)</x:v>
      </x:c>
      <x:c r="D4" s="53" t="str">
        <x:v>Capital / assets</x:v>
      </x:c>
      <x:c r="E4" s="53" t="str">
        <x:v>Cash / assets</x:v>
      </x:c>
      <x:c r="F4" s="53" t="str">
        <x:v>Securities / assets</x:v>
      </x:c>
      <x:c r="G4" s="53" t="str">
        <x:v>Securities MTM gap / equity</x:v>
      </x:c>
      <x:c r="H4" s="53" t="str">
        <x:v>Uninsured deposits / deposits</x:v>
      </x:c>
      <x:c r="I4" s="53" t="str">
        <x:v>Noncurrent loans / loans</x:v>
      </x:c>
      <x:c r="J4" s="53" t="str">
        <x:v>Rate score</x:v>
      </x:c>
      <x:c r="K4" s="53" t="str">
        <x:v>Funding score</x:v>
      </x:c>
      <x:c r="L4" s="53" t="str">
        <x:v>Credit score</x:v>
      </x:c>
      <x:c r="M4" s="53" t="str">
        <x:v>Rate-funding interaction</x:v>
      </x:c>
      <x:c r="N4" s="53" t="str">
        <x:v>Baseline score</x:v>
      </x:c>
      <x:c r="O4" s="53" t="str">
        <x:v>Baseline rank</x:v>
      </x:c>
      <x:c r="P4" s="53" t="str">
        <x:v>Trigger score</x:v>
      </x:c>
      <x:c r="Q4" s="53" t="str">
        <x:v>Trigger rank</x:v>
      </x:c>
      <x:c r="R4" s="53" t="str">
        <x:v>Failed in 2023</x:v>
      </x:c>
      <x:c r="S4" s="53" t="str">
        <x:v>Failure date</x:v>
      </x:c>
      <x:c r="T4" s="54" t="str">
        <x:v>Other-peer trigger score (summary helper)</x:v>
      </x:c>
    </x:row>
    <x:row r="5" ht="15" hidden="0">
      <x:c r="A5" s="59" t="str">
        <x:v>Peer 009</x:v>
      </x:c>
      <x:c r="B5" s="59" t="str">
        <x:v>Other peer</x:v>
      </x:c>
      <x:c r="C5" s="63" t="n">
        <x:v>12.054744</x:v>
      </x:c>
      <x:c r="D5" s="65" t="n">
        <x:v>0.10892657695592706</x:v>
      </x:c>
      <x:c r="E5" s="65" t="n">
        <x:v>0.011850770120045685</x:v>
      </x:c>
      <x:c r="F5" s="65" t="n">
        <x:v>0.40759397296201394</x:v>
      </x:c>
      <x:c r="G5" s="65" t="n">
        <x:v>0.40063072984017756</x:v>
      </x:c>
      <x:c r="H5" s="65" t="n">
        <x:v>0.5308878450698803</x:v>
      </x:c>
      <x:c r="I5" s="65" t="n">
        <x:v>0.00047563591677749037</x:v>
      </x:c>
      <x:c r="J5" s="65" t="n">
        <x:v>0.9423975931497339</x:v>
      </x:c>
      <x:c r="K5" s="65" t="n">
        <x:v>0.8791946308724832</x:v>
      </x:c>
      <x:c r="L5" s="65" t="n">
        <x:v>0.14527027027027029</x:v>
      </x:c>
      <x:c r="M5" s="65" t="n">
        <x:v>0.9102477157589559</x:v>
      </x:c>
      <x:c r="N5" s="63" t="n">
        <x:v>74.27363995938077</x:v>
      </x:c>
      <x:c r="O5" s="59" t="n">
        <x:v>3</x:v>
      </x:c>
      <x:c r="P5" s="63" t="n">
        <x:v>85.70230774938166</x:v>
      </x:c>
      <x:c r="Q5" s="59" t="n">
        <x:v>1</x:v>
      </x:c>
      <x:c r="R5" s="60" t="b">
        <x:v>0</x:v>
      </x:c>
      <x:c r="S5" s="59"/>
      <x:c r="T5" s="63" t="n">
        <x:v>85.70230774938166</x:v>
      </x:c>
    </x:row>
    <x:row r="6" ht="15" hidden="0">
      <x:c r="A6" s="59" t="str">
        <x:v>Peer 072</x:v>
      </x:c>
      <x:c r="B6" s="59" t="str">
        <x:v>Other peer</x:v>
      </x:c>
      <x:c r="C6" s="63" t="n">
        <x:v>16.474239</x:v>
      </x:c>
      <x:c r="D6" s="65" t="n">
        <x:v>0.11719515541810459</x:v>
      </x:c>
      <x:c r="E6" s="65" t="n">
        <x:v>0.012914708837233696</x:v>
      </x:c>
      <x:c r="F6" s="65" t="n">
        <x:v>0.35347259439419326</x:v>
      </x:c>
      <x:c r="G6" s="65" t="n">
        <x:v>0.21415744851222432</x:v>
      </x:c>
      <x:c r="H6" s="65" t="n">
        <x:v>0.6531345036797658</x:v>
      </x:c>
      <x:c r="I6" s="65" t="n">
        <x:v>0.0005429879005113999</x:v>
      </x:c>
      <x:c r="J6" s="65" t="n">
        <x:v>0.8947697292293451</x:v>
      </x:c>
      <x:c r="K6" s="65" t="n">
        <x:v>0.936241610738255</x:v>
      </x:c>
      <x:c r="L6" s="65" t="n">
        <x:v>0.060810810810810814</x:v>
      </x:c>
      <x:c r="M6" s="65" t="n">
        <x:v>0.915270808304031</x:v>
      </x:c>
      <x:c r="N6" s="63" t="n">
        <x:v>72.33018517540579</x:v>
      </x:c>
      <x:c r="O6" s="59" t="n">
        <x:v>6</x:v>
      </x:c>
      <x:c r="P6" s="63" t="n">
        <x:v>84.60160167118767</x:v>
      </x:c>
      <x:c r="Q6" s="59" t="n">
        <x:v>2</x:v>
      </x:c>
      <x:c r="R6" s="60" t="b">
        <x:v>0</x:v>
      </x:c>
      <x:c r="S6" s="59"/>
      <x:c r="T6" s="63" t="n">
        <x:v>84.60160167118767</x:v>
      </x:c>
    </x:row>
    <x:row r="7" ht="15" hidden="0">
      <x:c r="A7" s="59" t="str">
        <x:v>Peer 063</x:v>
      </x:c>
      <x:c r="B7" s="59" t="str">
        <x:v>Other peer</x:v>
      </x:c>
      <x:c r="C7" s="63" t="n">
        <x:v>23.579258</x:v>
      </x:c>
      <x:c r="D7" s="65" t="n">
        <x:v>0.054273802848249085</x:v>
      </x:c>
      <x:c r="E7" s="65" t="n">
        <x:v>0.01703900097280415</x:v>
      </x:c>
      <x:c r="F7" s="65" t="n">
        <x:v>0.35015783787598403</x:v>
      </x:c>
      <x:c r="G7" s="65" t="n">
        <x:v>0.6239599417379834</x:v>
      </x:c>
      <x:c r="H7" s="65" t="n">
        <x:v>0.45875095826995144</x:v>
      </x:c>
      <x:c r="I7" s="65" t="n">
        <x:v>0.0012442612926732493</x:v>
      </x:c>
      <x:c r="J7" s="65" t="n">
        <x:v>0.9224485072899791</x:v>
      </x:c>
      <x:c r="K7" s="65" t="n">
        <x:v>0.7114093959731544</x:v>
      </x:c>
      <x:c r="L7" s="65" t="n">
        <x:v>0.3108108108108108</x:v>
      </x:c>
      <x:c r="M7" s="65" t="n">
        <x:v>0.8100855111576197</x:v>
      </x:c>
      <x:c r="N7" s="63" t="n">
        <x:v>75.34642330673081</x:v>
      </x:c>
      <x:c r="O7" s="59" t="n">
        <x:v>1</x:v>
      </x:c>
      <x:c r="P7" s="63" t="n">
        <x:v>83.30876126864362</x:v>
      </x:c>
      <x:c r="Q7" s="59" t="n">
        <x:v>3</x:v>
      </x:c>
      <x:c r="R7" s="60" t="b">
        <x:v>0</x:v>
      </x:c>
      <x:c r="S7" s="59"/>
      <x:c r="T7" s="63" t="n">
        <x:v>83.30876126864362</x:v>
      </x:c>
    </x:row>
    <x:row r="8" ht="15" hidden="0">
      <x:c r="A8" s="59" t="str">
        <x:v>Peer 070</x:v>
      </x:c>
      <x:c r="B8" s="59" t="str">
        <x:v>Other peer</x:v>
      </x:c>
      <x:c r="C8" s="63" t="n">
        <x:v>25.260713</x:v>
      </x:c>
      <x:c r="D8" s="65" t="n">
        <x:v>0.08068624191249076</x:v>
      </x:c>
      <x:c r="E8" s="65" t="n">
        <x:v>0.01722488989127108</x:v>
      </x:c>
      <x:c r="F8" s="65" t="n">
        <x:v>0.2661264549421071</x:v>
      </x:c>
      <x:c r="G8" s="65" t="n">
        <x:v>0.19946648794617974</x:v>
      </x:c>
      <x:c r="H8" s="65" t="n">
        <x:v>0.6097119930170909</x:v>
      </x:c>
      <x:c r="I8" s="65" t="n">
        <x:v>0.0027700202184042884</x:v>
      </x:c>
      <x:c r="J8" s="65" t="n">
        <x:v>0.8308261976394353</x:v>
      </x:c>
      <x:c r="K8" s="65" t="n">
        <x:v>0.8523489932885906</x:v>
      </x:c>
      <x:c r="L8" s="65" t="n">
        <x:v>0.27364864864864863</x:v>
      </x:c>
      <x:c r="M8" s="65" t="n">
        <x:v>0.8415187895440959</x:v>
      </x:c>
      <x:c r="N8" s="63" t="n">
        <x:v>74.94690523176641</x:v>
      </x:c>
      <x:c r="O8" s="59" t="n">
        <x:v>2</x:v>
      </x:c>
      <x:c r="P8" s="63" t="n">
        <x:v>82.81167156826076</x:v>
      </x:c>
      <x:c r="Q8" s="59" t="n">
        <x:v>4</x:v>
      </x:c>
      <x:c r="R8" s="60" t="b">
        <x:v>0</x:v>
      </x:c>
      <x:c r="S8" s="59"/>
      <x:c r="T8" s="63" t="n">
        <x:v>82.81167156826076</x:v>
      </x:c>
    </x:row>
    <x:row r="9" ht="15" hidden="0">
      <x:c r="A9" s="59" t="str">
        <x:v>SILICON VALLEY BANK</x:v>
      </x:c>
      <x:c r="B9" s="59" t="str">
        <x:v>Failed in 2023</x:v>
      </x:c>
      <x:c r="C9" s="63" t="n">
        <x:v>209.026</x:v>
      </x:c>
      <x:c r="D9" s="65" t="n">
        <x:v>0.07394295446499478</x:v>
      </x:c>
      <x:c r="E9" s="65" t="n">
        <x:v>0.05985379809210337</x:v>
      </x:c>
      <x:c r="F9" s="65" t="n">
        <x:v>0.5611598557117297</x:v>
      </x:c>
      <x:c r="G9" s="65" t="n">
        <x:v>0.9803959627329193</x:v>
      </x:c>
      <x:c r="H9" s="65" t="n">
        <x:v>0.8643729544184562</x:v>
      </x:c>
      <x:c r="I9" s="65" t="n">
        <x:v>0.0018720790852402053</x:v>
      </x:c>
      <x:c r="J9" s="65" t="n">
        <x:v>0.9728766489238603</x:v>
      </x:c>
      <x:c r="K9" s="65" t="n">
        <x:v>0.6375838926174497</x:v>
      </x:c>
      <x:c r="L9" s="65" t="n">
        <x:v>0.28716216216216217</x:v>
      </x:c>
      <x:c r="M9" s="65" t="n">
        <x:v>0.7875852213300443</x:v>
      </x:c>
      <x:c r="N9" s="63" t="n">
        <x:v>72.84882010207068</x:v>
      </x:c>
      <x:c r="O9" s="59" t="n">
        <x:v>4</x:v>
      </x:c>
      <x:c r="P9" s="63" t="n">
        <x:v>81.5244742746716</x:v>
      </x:c>
      <x:c r="Q9" s="59" t="n">
        <x:v>5</x:v>
      </x:c>
      <x:c r="R9" s="60" t="b">
        <x:v>1</x:v>
      </x:c>
      <x:c r="S9" s="59" t="str">
        <x:v>3/10/2023</x:v>
      </x:c>
      <x:c r="T9" s="63"/>
    </x:row>
    <x:row r="10" ht="15" hidden="0">
      <x:c r="A10" s="59" t="str">
        <x:v>Peer 038</x:v>
      </x:c>
      <x:c r="B10" s="59" t="str">
        <x:v>Other peer</x:v>
      </x:c>
      <x:c r="C10" s="63" t="n">
        <x:v>38.279055</x:v>
      </x:c>
      <x:c r="D10" s="65" t="n">
        <x:v>0.07016325246273712</x:v>
      </x:c>
      <x:c r="E10" s="65" t="n">
        <x:v>0.0435583375817402</x:v>
      </x:c>
      <x:c r="F10" s="65" t="n">
        <x:v>0.33636616682412873</x:v>
      </x:c>
      <x:c r="G10" s="65" t="n">
        <x:v>0.21923252921028988</x:v>
      </x:c>
      <x:c r="H10" s="65" t="n">
        <x:v>0.751083328203311</x:v>
      </x:c>
      <x:c r="I10" s="65" t="n">
        <x:v>0.0009930030983921728</x:v>
      </x:c>
      <x:c r="J10" s="65" t="n">
        <x:v>0.8881508909974543</x:v>
      </x:c>
      <x:c r="K10" s="65" t="n">
        <x:v>0.697986577181208</x:v>
      </x:c>
      <x:c r="L10" s="65" t="n">
        <x:v>0.11148648648648649</x:v>
      </x:c>
      <x:c r="M10" s="65" t="n">
        <x:v>0.7873483348732969</x:v>
      </x:c>
      <x:c r="N10" s="63" t="n">
        <x:v>69.96319808989455</x:v>
      </x:c>
      <x:c r="O10" s="59" t="n">
        <x:v>13</x:v>
      </x:c>
      <x:c r="P10" s="63" t="n">
        <x:v>80.71923365894258</x:v>
      </x:c>
      <x:c r="Q10" s="59" t="n">
        <x:v>6</x:v>
      </x:c>
      <x:c r="R10" s="60" t="b">
        <x:v>0</x:v>
      </x:c>
      <x:c r="S10" s="59"/>
      <x:c r="T10" s="63" t="n">
        <x:v>80.71923365894258</x:v>
      </x:c>
    </x:row>
    <x:row r="11" ht="15" hidden="0">
      <x:c r="A11" s="59" t="str">
        <x:v>Peer 062</x:v>
      </x:c>
      <x:c r="B11" s="59" t="str">
        <x:v>Other peer</x:v>
      </x:c>
      <x:c r="C11" s="63" t="n">
        <x:v>24.576937</x:v>
      </x:c>
      <x:c r="D11" s="65" t="n">
        <x:v>0.09162415153686564</x:v>
      </x:c>
      <x:c r="E11" s="65" t="n">
        <x:v>0.02142756845574369</x:v>
      </x:c>
      <x:c r="F11" s="65" t="n">
        <x:v>0.30423433156051954</x:v>
      </x:c>
      <x:c r="G11" s="65" t="n">
        <x:v>0.2270111433267269</x:v>
      </x:c>
      <x:c r="H11" s="65" t="n">
        <x:v>0.5101371890509504</x:v>
      </x:c>
      <x:c r="I11" s="65" t="n">
        <x:v>0.0011126871024520842</x:v>
      </x:c>
      <x:c r="J11" s="65" t="n">
        <x:v>0.8647535292756305</x:v>
      </x:c>
      <x:c r="K11" s="65" t="n">
        <x:v>0.738255033557047</x:v>
      </x:c>
      <x:c r="L11" s="65" t="n">
        <x:v>0.41554054054054057</x:v>
      </x:c>
      <x:c r="M11" s="65" t="n">
        <x:v>0.7990047845751335</x:v>
      </x:c>
      <x:c r="N11" s="63" t="n">
        <x:v>72.79119538240508</x:v>
      </x:c>
      <x:c r="O11" s="59" t="n">
        <x:v>5</x:v>
      </x:c>
      <x:c r="P11" s="63" t="n">
        <x:v>80.45099441364532</x:v>
      </x:c>
      <x:c r="Q11" s="59" t="n">
        <x:v>7</x:v>
      </x:c>
      <x:c r="R11" s="60" t="b">
        <x:v>0</x:v>
      </x:c>
      <x:c r="S11" s="59"/>
      <x:c r="T11" s="63" t="n">
        <x:v>80.45099441364532</x:v>
      </x:c>
    </x:row>
    <x:row r="12" ht="15" hidden="0">
      <x:c r="A12" s="59" t="str">
        <x:v>Peer 010</x:v>
      </x:c>
      <x:c r="B12" s="59" t="str">
        <x:v>Other peer</x:v>
      </x:c>
      <x:c r="C12" s="63" t="n">
        <x:v>10.412724</x:v>
      </x:c>
      <x:c r="D12" s="65" t="n">
        <x:v>0.08035985588401268</x:v>
      </x:c>
      <x:c r="E12" s="65" t="n">
        <x:v>0.03782593296432327</x:v>
      </x:c>
      <x:c r="F12" s="65" t="n">
        <x:v>0.36092611309010014</x:v>
      </x:c>
      <x:c r="G12" s="65" t="n">
        <x:v>0.5003268540151655</x:v>
      </x:c>
      <x:c r="H12" s="65" t="n">
        <x:v>0.5821039387721937</x:v>
      </x:c>
      <x:c r="I12" s="65" t="n">
        <x:v>0.0005344025134957736</x:v>
      </x:c>
      <x:c r="J12" s="65" t="n">
        <x:v>0.92906734552187</x:v>
      </x:c>
      <x:c r="K12" s="65" t="n">
        <x:v>0.6812080536912751</x:v>
      </x:c>
      <x:c r="L12" s="65" t="n">
        <x:v>0.13175675675675677</x:v>
      </x:c>
      <x:c r="M12" s="65" t="n">
        <x:v>0.795542681564649</x:v>
      </x:c>
      <x:c r="N12" s="63" t="n">
        <x:v>70.0108569994913</x:v>
      </x:c>
      <x:c r="O12" s="59" t="n">
        <x:v>11</x:v>
      </x:c>
      <x:c r="P12" s="63" t="n">
        <x:v>80.39791790570393</x:v>
      </x:c>
      <x:c r="Q12" s="59" t="n">
        <x:v>8</x:v>
      </x:c>
      <x:c r="R12" s="60" t="b">
        <x:v>0</x:v>
      </x:c>
      <x:c r="S12" s="59"/>
      <x:c r="T12" s="63" t="n">
        <x:v>80.39791790570393</x:v>
      </x:c>
    </x:row>
    <x:row r="13" ht="15" hidden="0">
      <x:c r="A13" s="59" t="str">
        <x:v>Peer 056</x:v>
      </x:c>
      <x:c r="B13" s="59" t="str">
        <x:v>Other peer</x:v>
      </x:c>
      <x:c r="C13" s="63" t="n">
        <x:v>37.69597</x:v>
      </x:c>
      <x:c r="D13" s="65" t="n">
        <x:v>0.1772909411801845</x:v>
      </x:c>
      <x:c r="E13" s="65" t="n">
        <x:v>0.011266456334722253</x:v>
      </x:c>
      <x:c r="F13" s="65" t="n">
        <x:v>0.38401996287666823</x:v>
      </x:c>
      <x:c r="G13" s="65" t="n">
        <x:v>0.24425278842893638</x:v>
      </x:c>
      <x:c r="H13" s="65" t="n">
        <x:v>0.43424003655737825</x:v>
      </x:c>
      <x:c r="I13" s="65" t="n">
        <x:v>0.0013551610638462869</x:v>
      </x:c>
      <x:c r="J13" s="65" t="n">
        <x:v>0.9185373756074983</x:v>
      </x:c>
      <x:c r="K13" s="65" t="n">
        <x:v>0.7718120805369127</x:v>
      </x:c>
      <x:c r="L13" s="65" t="n">
        <x:v>0.36486486486486486</x:v>
      </x:c>
      <x:c r="M13" s="65" t="n">
        <x:v>0.8419847046820619</x:v>
      </x:c>
      <x:c r="N13" s="63" t="n">
        <x:v>68.95115826201899</x:v>
      </x:c>
      <x:c r="O13" s="59" t="n">
        <x:v>14</x:v>
      </x:c>
      <x:c r="P13" s="63" t="n">
        <x:v>79.73738106550086</x:v>
      </x:c>
      <x:c r="Q13" s="59" t="n">
        <x:v>9</x:v>
      </x:c>
      <x:c r="R13" s="60" t="b">
        <x:v>0</x:v>
      </x:c>
      <x:c r="S13" s="59"/>
      <x:c r="T13" s="63" t="n">
        <x:v>79.73738106550086</x:v>
      </x:c>
    </x:row>
    <x:row r="14" ht="15" hidden="0">
      <x:c r="A14" s="59" t="str">
        <x:v>FIRST REPUBLIC BANK</x:v>
      </x:c>
      <x:c r="B14" s="59" t="str">
        <x:v>Failed in 2023</x:v>
      </x:c>
      <x:c r="C14" s="63" t="n">
        <x:v>212.638872</x:v>
      </x:c>
      <x:c r="D14" s="65" t="n">
        <x:v>0.08204486242759979</x:v>
      </x:c>
      <x:c r="E14" s="65" t="n">
        <x:v>0.020143076191638187</x:v>
      </x:c>
      <x:c r="F14" s="65" t="n">
        <x:v>0.14916755672029713</x:v>
      </x:c>
      <x:c r="G14" s="65" t="n">
        <x:v>0.27425432881841133</x:v>
      </x:c>
      <x:c r="H14" s="65" t="n">
        <x:v>0.6771309706949528</x:v>
      </x:c>
      <x:c r="I14" s="65" t="n">
        <x:v>0.0006518233350692437</x:v>
      </x:c>
      <x:c r="J14" s="65" t="n">
        <x:v>0.630039342744735</x:v>
      </x:c>
      <x:c r="K14" s="65" t="n">
        <x:v>0.8557046979865772</x:v>
      </x:c>
      <x:c r="L14" s="65" t="n">
        <x:v>0.07770270270270271</x:v>
      </x:c>
      <x:c r="M14" s="65" t="n">
        <x:v>0.7342531072477972</x:v>
      </x:c>
      <x:c r="N14" s="63" t="n">
        <x:v>64.2688997505072</x:v>
      </x:c>
      <x:c r="O14" s="59" t="n">
        <x:v>28</x:v>
      </x:c>
      <x:c r="P14" s="63" t="n">
        <x:v>78.26600796580571</x:v>
      </x:c>
      <x:c r="Q14" s="59" t="n">
        <x:v>10</x:v>
      </x:c>
      <x:c r="R14" s="60" t="b">
        <x:v>1</x:v>
      </x:c>
      <x:c r="S14" s="59" t="str">
        <x:v>5/1/2023</x:v>
      </x:c>
      <x:c r="T14" s="63"/>
    </x:row>
    <x:row r="15" ht="15" hidden="0">
      <x:c r="A15" s="59" t="str">
        <x:v>Peer 140</x:v>
      </x:c>
      <x:c r="B15" s="59" t="str">
        <x:v>Other peer</x:v>
      </x:c>
      <x:c r="C15" s="63" t="n">
        <x:v>36.897184</x:v>
      </x:c>
      <x:c r="D15" s="65" t="n">
        <x:v>0.0752653915268981</x:v>
      </x:c>
      <x:c r="E15" s="65" t="n">
        <x:v>0.015519937781701715</x:v>
      </x:c>
      <x:c r="F15" s="65" t="n">
        <x:v>0.2619290133360855</x:v>
      </x:c>
      <x:c r="G15" s="65" t="n">
        <x:v>0.000049332374532827815</x:v>
      </x:c>
      <x:c r="H15" s="65" t="n">
        <x:v>0.652988172976868</x:v>
      </x:c>
      <x:c r="I15" s="65" t="n">
        <x:v>0.024036538151509194</x:v>
      </x:c>
      <x:c r="J15" s="65" t="n">
        <x:v>0.4310113399676001</x:v>
      </x:c>
      <x:c r="K15" s="65" t="n">
        <x:v>0.8926174496644295</x:v>
      </x:c>
      <x:c r="L15" s="65" t="n">
        <x:v>0.9560810810810811</x:v>
      </x:c>
      <x:c r="M15" s="65" t="n">
        <x:v>0.620264655657831</x:v>
      </x:c>
      <x:c r="N15" s="63" t="n">
        <x:v>71.62991180901007</x:v>
      </x:c>
      <x:c r="O15" s="59" t="n">
        <x:v>7</x:v>
      </x:c>
      <x:c r="P15" s="63" t="n">
        <x:v>77.6881285116192</x:v>
      </x:c>
      <x:c r="Q15" s="59" t="n">
        <x:v>11</x:v>
      </x:c>
      <x:c r="R15" s="60" t="b">
        <x:v>0</x:v>
      </x:c>
      <x:c r="S15" s="59"/>
      <x:c r="T15" s="63" t="n">
        <x:v>77.6881285116192</x:v>
      </x:c>
    </x:row>
    <x:row r="16" ht="15" hidden="0">
      <x:c r="A16" s="59" t="str">
        <x:v>Peer 059</x:v>
      </x:c>
      <x:c r="B16" s="59" t="str">
        <x:v>Other peer</x:v>
      </x:c>
      <x:c r="C16" s="63" t="n">
        <x:v>96.504709</x:v>
      </x:c>
      <x:c r="D16" s="65" t="n">
        <x:v>0.07234206571204728</x:v>
      </x:c>
      <x:c r="E16" s="65" t="n">
        <x:v>0.04572616244042558</x:v>
      </x:c>
      <x:c r="F16" s="65" t="n">
        <x:v>0.2282592241172397</x:v>
      </x:c>
      <x:c r="G16" s="65" t="n">
        <x:v>0.1380387747355454</x:v>
      </x:c>
      <x:c r="H16" s="65" t="n">
        <x:v>0.6604723218671185</x:v>
      </x:c>
      <x:c r="I16" s="65" t="n">
        <x:v>0.003297043877703625</x:v>
      </x:c>
      <x:c r="J16" s="65" t="n">
        <x:v>0.7325850497570007</x:v>
      </x:c>
      <x:c r="K16" s="65" t="n">
        <x:v>0.6610738255033557</x:v>
      </x:c>
      <x:c r="L16" s="65" t="n">
        <x:v>0.6756756756756757</x:v>
      </x:c>
      <x:c r="M16" s="65" t="n">
        <x:v>0.6959114895943497</x:v>
      </x:c>
      <x:c r="N16" s="63" t="n">
        <x:v>71.07322890927486</x:v>
      </x:c>
      <x:c r="O16" s="59" t="n">
        <x:v>8</x:v>
      </x:c>
      <x:c r="P16" s="63" t="n">
        <x:v>77.14363432161922</x:v>
      </x:c>
      <x:c r="Q16" s="59" t="n">
        <x:v>12</x:v>
      </x:c>
      <x:c r="R16" s="60" t="b">
        <x:v>0</x:v>
      </x:c>
      <x:c r="S16" s="59"/>
      <x:c r="T16" s="63" t="n">
        <x:v>77.14363432161922</x:v>
      </x:c>
    </x:row>
    <x:row r="17" ht="15" hidden="0">
      <x:c r="A17" s="59" t="str">
        <x:v>Peer 089</x:v>
      </x:c>
      <x:c r="B17" s="59" t="str">
        <x:v>Other peer</x:v>
      </x:c>
      <x:c r="C17" s="63" t="n">
        <x:v>10.094596</x:v>
      </x:c>
      <x:c r="D17" s="65" t="n">
        <x:v>0.09295339803593923</x:v>
      </x:c>
      <x:c r="E17" s="65" t="n">
        <x:v>0.01702346483207451</x:v>
      </x:c>
      <x:c r="F17" s="65" t="n">
        <x:v>0.16489505870269597</x:v>
      </x:c>
      <x:c r="G17" s="65" t="n">
        <x:v>0.057633426300213036</x:v>
      </x:c>
      <x:c r="H17" s="65" t="n">
        <x:v>0.8148532593519412</x:v>
      </x:c>
      <x:c r="I17" s="65" t="n">
        <x:v>0.0008934864742773277</x:v>
      </x:c>
      <x:c r="J17" s="65" t="n">
        <x:v>0.49453830131913906</x:v>
      </x:c>
      <x:c r="K17" s="65" t="n">
        <x:v>0.8993288590604027</x:v>
      </x:c>
      <x:c r="L17" s="65" t="n">
        <x:v>0.25</x:v>
      </x:c>
      <x:c r="M17" s="65" t="n">
        <x:v>0.6668977180100492</x:v>
      </x:c>
      <x:c r="N17" s="63" t="n">
        <x:v>61.8453426505025</x:v>
      </x:c>
      <x:c r="O17" s="59" t="n">
        <x:v>35</x:v>
      </x:c>
      <x:c r="P17" s="63" t="n">
        <x:v>77.02315454534332</x:v>
      </x:c>
      <x:c r="Q17" s="59" t="n">
        <x:v>13</x:v>
      </x:c>
      <x:c r="R17" s="60" t="b">
        <x:v>0</x:v>
      </x:c>
      <x:c r="S17" s="59"/>
      <x:c r="T17" s="63" t="n">
        <x:v>77.02315454534332</x:v>
      </x:c>
    </x:row>
    <x:row r="18" ht="15" hidden="0">
      <x:c r="A18" s="59" t="str">
        <x:v>Peer 020</x:v>
      </x:c>
      <x:c r="B18" s="59" t="str">
        <x:v>Other peer</x:v>
      </x:c>
      <x:c r="C18" s="63" t="n">
        <x:v>17.923519</x:v>
      </x:c>
      <x:c r="D18" s="65" t="n">
        <x:v>0.11824218224111013</x:v>
      </x:c>
      <x:c r="E18" s="65" t="n">
        <x:v>0.013748918390412061</x:v>
      </x:c>
      <x:c r="F18" s="65" t="n">
        <x:v>0.23758749607150248</x:v>
      </x:c>
      <x:c r="G18" s="65" t="n">
        <x:v>0.1789549080929885</x:v>
      </x:c>
      <x:c r="H18" s="65" t="n">
        <x:v>0.456285173091031</x:v>
      </x:c>
      <x:c r="I18" s="65" t="n">
        <x:v>0.0036677802391877857</x:v>
      </x:c>
      <x:c r="J18" s="65" t="n">
        <x:v>0.7701457995834298</x:v>
      </x:c>
      <x:c r="K18" s="65" t="n">
        <x:v>0.7684563758389262</x:v>
      </x:c>
      <x:c r="L18" s="65" t="n">
        <x:v>0.5135135135135135</x:v>
      </x:c>
      <x:c r="M18" s="65" t="n">
        <x:v>0.7693006239536365</x:v>
      </x:c>
      <x:c r="N18" s="63" t="n">
        <x:v>67.95200146260896</x:v>
      </x:c>
      <x:c r="O18" s="59" t="n">
        <x:v>17</x:v>
      </x:c>
      <x:c r="P18" s="63" t="n">
        <x:v>76.26890057429594</x:v>
      </x:c>
      <x:c r="Q18" s="59" t="n">
        <x:v>14</x:v>
      </x:c>
      <x:c r="R18" s="60" t="b">
        <x:v>0</x:v>
      </x:c>
      <x:c r="S18" s="59"/>
      <x:c r="T18" s="63" t="n">
        <x:v>76.26890057429594</x:v>
      </x:c>
    </x:row>
    <x:row r="19" ht="15" hidden="0">
      <x:c r="A19" s="59" t="str">
        <x:v>SIGNATURE BANK</x:v>
      </x:c>
      <x:c r="B19" s="59" t="str">
        <x:v>Failed in 2023</x:v>
      </x:c>
      <x:c r="C19" s="63" t="n">
        <x:v>110.36365</x:v>
      </x:c>
      <x:c r="D19" s="65" t="n">
        <x:v>0.07260634275868912</x:v>
      </x:c>
      <x:c r="E19" s="65" t="n">
        <x:v>0.05494118761023217</x:v>
      </x:c>
      <x:c r="F19" s="65" t="n">
        <x:v>0.23696926478962957</x:v>
      </x:c>
      <x:c r="G19" s="65" t="n">
        <x:v>0.09511586088831278</x:v>
      </x:c>
      <x:c r="H19" s="65" t="n">
        <x:v>0.8966973334167975</x:v>
      </x:c>
      <x:c r="I19" s="65" t="n">
        <x:v>0.0031869477705020995</x:v>
      </x:c>
      <x:c r="J19" s="65" t="n">
        <x:v>0.6943763017819949</x:v>
      </x:c>
      <x:c r="K19" s="65" t="n">
        <x:v>0.6577181208053691</x:v>
      </x:c>
      <x:c r="L19" s="65" t="n">
        <x:v>0.3547297297297297</x:v>
      </x:c>
      <x:c r="M19" s="65" t="n">
        <x:v>0.6757986951303143</x:v>
      </x:c>
      <x:c r="N19" s="63" t="n">
        <x:v>64.57248318845261</x:v>
      </x:c>
      <x:c r="O19" s="59" t="n">
        <x:v>27</x:v>
      </x:c>
      <x:c r="P19" s="63" t="n">
        <x:v>76.2227398852054</x:v>
      </x:c>
      <x:c r="Q19" s="59" t="n">
        <x:v>15</x:v>
      </x:c>
      <x:c r="R19" s="60" t="b">
        <x:v>1</x:v>
      </x:c>
      <x:c r="S19" s="59" t="str">
        <x:v>3/12/2023</x:v>
      </x:c>
      <x:c r="T19" s="63"/>
    </x:row>
    <x:row r="20" ht="15" hidden="0">
      <x:c r="A20" s="59" t="str">
        <x:v>Peer 024</x:v>
      </x:c>
      <x:c r="B20" s="59" t="str">
        <x:v>Other peer</x:v>
      </x:c>
      <x:c r="C20" s="63" t="n">
        <x:v>39.358786</x:v>
      </x:c>
      <x:c r="D20" s="65" t="n">
        <x:v>0.10255074940573625</x:v>
      </x:c>
      <x:c r="E20" s="65" t="n">
        <x:v>0.015082909315343212</x:v>
      </x:c>
      <x:c r="F20" s="65" t="n">
        <x:v>0.17044263001404567</x:v>
      </x:c>
      <x:c r="G20" s="65" t="n">
        <x:v>0.1400727849677165</x:v>
      </x:c>
      <x:c r="H20" s="65" t="n">
        <x:v>0.5519756639412579</x:v>
      </x:c>
      <x:c r="I20" s="65" t="n">
        <x:v>0.00408696031138428</x:v>
      </x:c>
      <x:c r="J20" s="65" t="n">
        <x:v>0.6286507752834992</x:v>
      </x:c>
      <x:c r="K20" s="65" t="n">
        <x:v>0.8691275167785235</x:v>
      </x:c>
      <x:c r="L20" s="65" t="n">
        <x:v>0.4358108108108108</x:v>
      </x:c>
      <x:c r="M20" s="65" t="n">
        <x:v>0.7391736516158035</x:v>
      </x:c>
      <x:c r="N20" s="63" t="n">
        <x:v>67.1788053534323</x:v>
      </x:c>
      <x:c r="O20" s="59" t="n">
        <x:v>20</x:v>
      </x:c>
      <x:c r="P20" s="63" t="n">
        <x:v>75.79994897945042</x:v>
      </x:c>
      <x:c r="Q20" s="59" t="n">
        <x:v>16</x:v>
      </x:c>
      <x:c r="R20" s="60" t="b">
        <x:v>0</x:v>
      </x:c>
      <x:c r="S20" s="59"/>
      <x:c r="T20" s="63" t="n">
        <x:v>75.79994897945042</x:v>
      </x:c>
    </x:row>
    <x:row r="21" ht="15" hidden="0">
      <x:c r="A21" s="59" t="str">
        <x:v>Peer 109</x:v>
      </x:c>
      <x:c r="B21" s="59" t="str">
        <x:v>Other peer</x:v>
      </x:c>
      <x:c r="C21" s="63" t="n">
        <x:v>20.258988</x:v>
      </x:c>
      <x:c r="D21" s="65" t="n">
        <x:v>0.10935817721990852</x:v>
      </x:c>
      <x:c r="E21" s="65" t="n">
        <x:v>0.01449593632218944</x:v>
      </x:c>
      <x:c r="F21" s="65" t="n">
        <x:v>0.3268601570818839</x:v>
      </x:c>
      <x:c r="G21" s="65" t="n">
        <x:v>0.14236515148369253</x:v>
      </x:c>
      <x:c r="H21" s="65" t="n">
        <x:v>0.42992616065729194</x:v>
      </x:c>
      <x:c r="I21" s="65" t="n">
        <x:v>0.0011500009924865348</x:v>
      </x:c>
      <x:c r="J21" s="65" t="n">
        <x:v>0.8367970377227494</x:v>
      </x:c>
      <x:c r="K21" s="65" t="n">
        <x:v>0.7214765100671141</x:v>
      </x:c>
      <x:c r="L21" s="65" t="n">
        <x:v>0.3141891891891892</x:v>
      </x:c>
      <x:c r="M21" s="65" t="n">
        <x:v>0.7770002615255084</x:v>
      </x:c>
      <x:c r="N21" s="63" t="n">
        <x:v>66.77122060820948</x:v>
      </x:c>
      <x:c r="O21" s="59" t="n">
        <x:v>21</x:v>
      </x:c>
      <x:c r="P21" s="63" t="n">
        <x:v>74.76878501121658</x:v>
      </x:c>
      <x:c r="Q21" s="59" t="n">
        <x:v>17</x:v>
      </x:c>
      <x:c r="R21" s="60" t="b">
        <x:v>0</x:v>
      </x:c>
      <x:c r="S21" s="59"/>
      <x:c r="T21" s="63" t="n">
        <x:v>74.76878501121658</x:v>
      </x:c>
    </x:row>
    <x:row r="22" ht="15" hidden="0">
      <x:c r="A22" s="59" t="str">
        <x:v>Peer 028</x:v>
      </x:c>
      <x:c r="B22" s="59" t="str">
        <x:v>Other peer</x:v>
      </x:c>
      <x:c r="C22" s="63" t="n">
        <x:v>182.325674</x:v>
      </x:c>
      <x:c r="D22" s="65" t="n">
        <x:v>0.09303212557985663</x:v>
      </x:c>
      <x:c r="E22" s="65" t="n">
        <x:v>0.03555119724937915</x:v>
      </x:c>
      <x:c r="F22" s="65" t="n">
        <x:v>0.221990200897324</x:v>
      </x:c>
      <x:c r="G22" s="65" t="n">
        <x:v>0.13550939459602546</x:v>
      </x:c>
      <x:c r="H22" s="65" t="n">
        <x:v>0.5594157205307738</x:v>
      </x:c>
      <x:c r="I22" s="65" t="n">
        <x:v>0.006410317437097973</x:v>
      </x:c>
      <x:c r="J22" s="65" t="n">
        <x:v>0.719069659800972</x:v>
      </x:c>
      <x:c r="K22" s="65" t="n">
        <x:v>0.6812080536912752</x:v>
      </x:c>
      <x:c r="L22" s="65" t="n">
        <x:v>0.7567567567567568</x:v>
      </x:c>
      <x:c r="M22" s="65" t="n">
        <x:v>0.6998828783599922</x:v>
      </x:c>
      <x:c r="N22" s="63" t="n">
        <x:v>69.99585696600141</x:v>
      </x:c>
      <x:c r="O22" s="59" t="n">
        <x:v>12</x:v>
      </x:c>
      <x:c r="P22" s="63" t="n">
        <x:v>74.23712290617918</x:v>
      </x:c>
      <x:c r="Q22" s="59" t="n">
        <x:v>18</x:v>
      </x:c>
      <x:c r="R22" s="60" t="b">
        <x:v>0</x:v>
      </x:c>
      <x:c r="S22" s="59"/>
      <x:c r="T22" s="63" t="n">
        <x:v>74.23712290617918</x:v>
      </x:c>
    </x:row>
    <x:row r="23" ht="15" hidden="0">
      <x:c r="A23" s="59" t="str">
        <x:v>Peer 018</x:v>
      </x:c>
      <x:c r="B23" s="59" t="str">
        <x:v>Other peer</x:v>
      </x:c>
      <x:c r="C23" s="63" t="n">
        <x:v>47.596192</x:v>
      </x:c>
      <x:c r="D23" s="65" t="n">
        <x:v>0.09142075903887437</x:v>
      </x:c>
      <x:c r="E23" s="65" t="n">
        <x:v>0.03068869459136563</x:v>
      </x:c>
      <x:c r="F23" s="65" t="n">
        <x:v>0.2945432273237321</x:v>
      </x:c>
      <x:c r="G23" s="65" t="n">
        <x:v>0.04159879391811145</x:v>
      </x:c>
      <x:c r="H23" s="65" t="n">
        <x:v>0.5653976489053005</x:v>
      </x:c>
      <x:c r="I23" s="65" t="n">
        <x:v>0.008772387848661982</x:v>
      </x:c>
      <x:c r="J23" s="65" t="n">
        <x:v>0.6442490164313817</x:v>
      </x:c>
      <x:c r="K23" s="65" t="n">
        <x:v>0.7147651006711409</x:v>
      </x:c>
      <x:c r="L23" s="65" t="n">
        <x:v>0.7297297297297298</x:v>
      </x:c>
      <x:c r="M23" s="65" t="n">
        <x:v>0.6785917130991654</x:v>
      </x:c>
      <x:c r="N23" s="63" t="n">
        <x:v>68.44696929344013</x:v>
      </x:c>
      <x:c r="O23" s="59" t="n">
        <x:v>15</x:v>
      </x:c>
      <x:c r="P23" s="63" t="n">
        <x:v>73.80101982338363</x:v>
      </x:c>
      <x:c r="Q23" s="59" t="n">
        <x:v>19</x:v>
      </x:c>
      <x:c r="R23" s="60" t="b">
        <x:v>0</x:v>
      </x:c>
      <x:c r="S23" s="59"/>
      <x:c r="T23" s="63" t="n">
        <x:v>73.80101982338363</x:v>
      </x:c>
    </x:row>
    <x:row r="24" ht="15" hidden="0">
      <x:c r="A24" s="59" t="str">
        <x:v>Peer 066</x:v>
      </x:c>
      <x:c r="B24" s="59" t="str">
        <x:v>Other peer</x:v>
      </x:c>
      <x:c r="C24" s="63" t="n">
        <x:v>27.775362</x:v>
      </x:c>
      <x:c r="D24" s="65" t="n">
        <x:v>0.040553242834422826</x:v>
      </x:c>
      <x:c r="E24" s="65" t="n">
        <x:v>0.013813393323190532</x:v>
      </x:c>
      <x:c r="F24" s="65" t="n">
        <x:v>0.35892039858922453</x:v>
      </x:c>
      <x:c r="G24" s="65" t="n">
        <x:v>0.12637287028101504</x:v>
      </x:c>
      <x:c r="H24" s="65" t="n">
        <x:v>0.32645335990711055</x:v>
      </x:c>
      <x:c r="I24" s="65" t="n">
        <x:v>0.0017355877979286312</x:v>
      </x:c>
      <x:c r="J24" s="65" t="n">
        <x:v>0.8429530201342282</x:v>
      </x:c>
      <x:c r="K24" s="65" t="n">
        <x:v>0.587248322147651</x:v>
      </x:c>
      <x:c r="L24" s="65" t="n">
        <x:v>0.4932432432432432</x:v>
      </x:c>
      <x:c r="M24" s="65" t="n">
        <x:v>0.7035785291800203</x:v>
      </x:c>
      <x:c r="N24" s="63" t="n">
        <x:v>70.51353926859842</x:v>
      </x:c>
      <x:c r="O24" s="59" t="n">
        <x:v>10</x:v>
      </x:c>
      <x:c r="P24" s="63" t="n">
        <x:v>72.69087636241787</x:v>
      </x:c>
      <x:c r="Q24" s="59" t="n">
        <x:v>20</x:v>
      </x:c>
      <x:c r="R24" s="60" t="b">
        <x:v>0</x:v>
      </x:c>
      <x:c r="S24" s="59"/>
      <x:c r="T24" s="63" t="n">
        <x:v>72.69087636241787</x:v>
      </x:c>
    </x:row>
    <x:row r="25" ht="15" hidden="0">
      <x:c r="A25" s="59" t="str">
        <x:v>Stressed Peer B</x:v>
      </x:c>
      <x:c r="B25" s="59" t="str">
        <x:v>Stressed survivor in 2023</x:v>
      </x:c>
      <x:c r="C25" s="63" t="n">
        <x:v>67.683841</x:v>
      </x:c>
      <x:c r="D25" s="65" t="n">
        <x:v>0.08451206248770662</x:v>
      </x:c>
      <x:c r="E25" s="65" t="n">
        <x:v>0.015414092707888726</x:v>
      </x:c>
      <x:c r="F25" s="65" t="n">
        <x:v>0.125617191258398</x:v>
      </x:c>
      <x:c r="G25" s="65" t="n">
        <x:v>0.05205450043626852</x:v>
      </x:c>
      <x:c r="H25" s="65" t="n">
        <x:v>0.5503240679528293</x:v>
      </x:c>
      <x:c r="I25" s="65" t="n">
        <x:v>0.013657109767403188</x:v>
      </x:c>
      <x:c r="J25" s="65" t="n">
        <x:v>0.41009025688498035</x:v>
      </x:c>
      <x:c r="K25" s="65" t="n">
        <x:v>0.8523489932885906</x:v>
      </x:c>
      <x:c r="L25" s="65" t="n">
        <x:v>0.9054054054054054</x:v>
      </x:c>
      <x:c r="M25" s="65" t="n">
        <x:v>0.5912190944255543</x:v>
      </x:c>
      <x:c r="N25" s="63" t="n">
        <x:v>67.63288983025772</x:v>
      </x:c>
      <x:c r="O25" s="59" t="n">
        <x:v>19</x:v>
      </x:c>
      <x:c r="P25" s="63" t="n">
        <x:v>72.43310296784082</x:v>
      </x:c>
      <x:c r="Q25" s="59" t="n">
        <x:v>21</x:v>
      </x:c>
      <x:c r="R25" s="60" t="b">
        <x:v>0</x:v>
      </x:c>
      <x:c r="S25" s="59"/>
      <x:c r="T25" s="63" t="n">
        <x:v>72.43310296784082</x:v>
      </x:c>
    </x:row>
    <x:row r="26" ht="15" hidden="0">
      <x:c r="A26" s="59" t="str">
        <x:v>Peer 051</x:v>
      </x:c>
      <x:c r="B26" s="59" t="str">
        <x:v>Other peer</x:v>
      </x:c>
      <x:c r="C26" s="63" t="n">
        <x:v>15.939263</x:v>
      </x:c>
      <x:c r="D26" s="65" t="n">
        <x:v>0.07938321865948256</x:v>
      </x:c>
      <x:c r="E26" s="65" t="n">
        <x:v>0.044686946943531834</x:v>
      </x:c>
      <x:c r="F26" s="65" t="n">
        <x:v>0.24659521585157357</x:v>
      </x:c>
      <x:c r="G26" s="65" t="n">
        <x:v>0.275089108597893</x:v>
      </x:c>
      <x:c r="H26" s="65" t="n">
        <x:v>0.445574878321135</x:v>
      </x:c>
      <x:c r="I26" s="65" t="n">
        <x:v>0.00395890629312627</x:v>
      </x:c>
      <x:c r="J26" s="65" t="n">
        <x:v>0.8247627863920388</x:v>
      </x:c>
      <x:c r="K26" s="65" t="n">
        <x:v>0.4899328859060403</x:v>
      </x:c>
      <x:c r="L26" s="65" t="n">
        <x:v>0.5337837837837838</x:v>
      </x:c>
      <x:c r="M26" s="65" t="n">
        <x:v>0.635671622872186</x:v>
      </x:c>
      <x:c r="N26" s="63" t="n">
        <x:v>64.84477023429916</x:v>
      </x:c>
      <x:c r="O26" s="59" t="n">
        <x:v>26</x:v>
      </x:c>
      <x:c r="P26" s="63" t="n">
        <x:v>72.27797738885975</x:v>
      </x:c>
      <x:c r="Q26" s="59" t="n">
        <x:v>22</x:v>
      </x:c>
      <x:c r="R26" s="60" t="b">
        <x:v>0</x:v>
      </x:c>
      <x:c r="S26" s="59"/>
      <x:c r="T26" s="63" t="n">
        <x:v>72.27797738885975</x:v>
      </x:c>
    </x:row>
    <x:row r="27" ht="15" hidden="0">
      <x:c r="A27" s="59" t="str">
        <x:v>Peer 094</x:v>
      </x:c>
      <x:c r="B27" s="59" t="str">
        <x:v>Other peer</x:v>
      </x:c>
      <x:c r="C27" s="63" t="n">
        <x:v>26.612483</x:v>
      </x:c>
      <x:c r="D27" s="65" t="n">
        <x:v>0.10832694566681358</x:v>
      </x:c>
      <x:c r="E27" s="65" t="n">
        <x:v>0.015105505187170997</x:v>
      </x:c>
      <x:c r="F27" s="65" t="n">
        <x:v>0.3390439366368031</x:v>
      </x:c>
      <x:c r="G27" s="65" t="n">
        <x:v>0.1528703029537794</x:v>
      </x:c>
      <x:c r="H27" s="65" t="n">
        <x:v>0.34975724823603477</x:v>
      </x:c>
      <x:c r="I27" s="65" t="n">
        <x:v>0.002143635225241603</x:v>
      </x:c>
      <x:c r="J27" s="65" t="n">
        <x:v>0.8639203887988891</x:v>
      </x:c>
      <x:c r="K27" s="65" t="n">
        <x:v>0.6140939597315437</x:v>
      </x:c>
      <x:c r="L27" s="65" t="n">
        <x:v>0.29729729729729726</x:v>
      </x:c>
      <x:c r="M27" s="65" t="n">
        <x:v>0.7283737313016749</x:v>
      </x:c>
      <x:c r="N27" s="63" t="n">
        <x:v>63.5875648504148</x:v>
      </x:c>
      <x:c r="O27" s="59" t="n">
        <x:v>30</x:v>
      </x:c>
      <x:c r="P27" s="63" t="n">
        <x:v>72.15821938606777</x:v>
      </x:c>
      <x:c r="Q27" s="59" t="n">
        <x:v>23</x:v>
      </x:c>
      <x:c r="R27" s="60" t="b">
        <x:v>0</x:v>
      </x:c>
      <x:c r="S27" s="59"/>
      <x:c r="T27" s="63" t="n">
        <x:v>72.15821938606777</x:v>
      </x:c>
    </x:row>
    <x:row r="28" ht="15" hidden="0">
      <x:c r="A28" s="59" t="str">
        <x:v>Peer 011</x:v>
      </x:c>
      <x:c r="B28" s="59" t="str">
        <x:v>Other peer</x:v>
      </x:c>
      <x:c r="C28" s="63" t="n">
        <x:v>18.13933</x:v>
      </x:c>
      <x:c r="D28" s="65" t="n">
        <x:v>0.11749491298741464</x:v>
      </x:c>
      <x:c r="E28" s="65" t="n">
        <x:v>0.018282207777244253</x:v>
      </x:c>
      <x:c r="F28" s="65" t="n">
        <x:v>0.2386585392073467</x:v>
      </x:c>
      <x:c r="G28" s="65" t="n">
        <x:v>0.13288874896247746</x:v>
      </x:c>
      <x:c r="H28" s="65" t="n">
        <x:v>0.447579062632727</x:v>
      </x:c>
      <x:c r="I28" s="65" t="n">
        <x:v>0.0034662211946526094</x:v>
      </x:c>
      <x:c r="J28" s="65" t="n">
        <x:v>0.7458227262207822</x:v>
      </x:c>
      <x:c r="K28" s="65" t="n">
        <x:v>0.6778523489932886</x:v>
      </x:c>
      <x:c r="L28" s="65" t="n">
        <x:v>0.6925675675675675</x:v>
      </x:c>
      <x:c r="M28" s="65" t="n">
        <x:v>0.7110257990406084</x:v>
      </x:c>
      <x:c r="N28" s="63" t="n">
        <x:v>66.45380792795855</x:v>
      </x:c>
      <x:c r="O28" s="59" t="n">
        <x:v>22</x:v>
      </x:c>
      <x:c r="P28" s="63" t="n">
        <x:v>71.57562412644913</x:v>
      </x:c>
      <x:c r="Q28" s="59" t="n">
        <x:v>24</x:v>
      </x:c>
      <x:c r="R28" s="60" t="b">
        <x:v>0</x:v>
      </x:c>
      <x:c r="S28" s="59"/>
      <x:c r="T28" s="63" t="n">
        <x:v>71.57562412644913</x:v>
      </x:c>
    </x:row>
    <x:row r="29" ht="15" hidden="0">
      <x:c r="A29" s="59" t="str">
        <x:v>Stressed Peer E</x:v>
      </x:c>
      <x:c r="B29" s="59" t="str">
        <x:v>Stressed survivor in 2023</x:v>
      </x:c>
      <x:c r="C29" s="63" t="n">
        <x:v>187.590465</x:v>
      </x:c>
      <x:c r="D29" s="65" t="n">
        <x:v>0.06947828078575316</x:v>
      </x:c>
      <x:c r="E29" s="65" t="n">
        <x:v>0.01809751364494992</x:v>
      </x:c>
      <x:c r="F29" s="65" t="n">
        <x:v>0.25495235592064874</x:v>
      </x:c>
      <x:c r="G29" s="65" t="n">
        <x:v>0.04578506878793456</x:v>
      </x:c>
      <x:c r="H29" s="65" t="n">
        <x:v>0.5189452289269261</x:v>
      </x:c>
      <x:c r="I29" s="65" t="n">
        <x:v>0.003941720820767663</x:v>
      </x:c>
      <x:c r="J29" s="65" t="n">
        <x:v>0.6210367970377227</x:v>
      </x:c>
      <x:c r="K29" s="65" t="n">
        <x:v>0.7651006711409396</x:v>
      </x:c>
      <x:c r="L29" s="65" t="n">
        <x:v>0.472972972972973</x:v>
      </x:c>
      <x:c r="M29" s="65" t="n">
        <x:v>0.6893153633981918</x:v>
      </x:c>
      <x:c r="N29" s="63" t="n">
        <x:v>67.98396633230665</x:v>
      </x:c>
      <x:c r="O29" s="59" t="n">
        <x:v>16</x:v>
      </x:c>
      <x:c r="P29" s="63" t="n">
        <x:v>71.42599277619829</x:v>
      </x:c>
      <x:c r="Q29" s="59" t="n">
        <x:v>25</x:v>
      </x:c>
      <x:c r="R29" s="60" t="b">
        <x:v>0</x:v>
      </x:c>
      <x:c r="S29" s="59"/>
      <x:c r="T29" s="63" t="n">
        <x:v>71.42599277619829</x:v>
      </x:c>
    </x:row>
    <x:row r="30" ht="15" hidden="0">
      <x:c r="A30" s="59" t="str">
        <x:v>Peer 087</x:v>
      </x:c>
      <x:c r="B30" s="59" t="str">
        <x:v>Other peer</x:v>
      </x:c>
      <x:c r="C30" s="63" t="n">
        <x:v>12.963839</x:v>
      </x:c>
      <x:c r="D30" s="65" t="n">
        <x:v>0.12530856021892897</x:v>
      </x:c>
      <x:c r="E30" s="65" t="n">
        <x:v>0.012151955913676496</x:v>
      </x:c>
      <x:c r="F30" s="65" t="n">
        <x:v>0.12984633641315663</x:v>
      </x:c>
      <x:c r="G30" s="65" t="n">
        <x:v>0.07313971240027578</x:v>
      </x:c>
      <x:c r="H30" s="65" t="n">
        <x:v>0.5770441380280663</x:v>
      </x:c>
      <x:c r="I30" s="65" t="n">
        <x:v>0.002347416657943987</x:v>
      </x:c>
      <x:c r="J30" s="65" t="n">
        <x:v>0.47188150890997455</x:v>
      </x:c>
      <x:c r="K30" s="65" t="n">
        <x:v>0.9161073825503356</x:v>
      </x:c>
      <x:c r="L30" s="65" t="n">
        <x:v>0.2533783783783784</x:v>
      </x:c>
      <x:c r="M30" s="65" t="n">
        <x:v>0.657490786248309</x:v>
      </x:c>
      <x:c r="N30" s="63" t="n">
        <x:v>57.23373869596823</x:v>
      </x:c>
      <x:c r="O30" s="59" t="n">
        <x:v>50</x:v>
      </x:c>
      <x:c r="P30" s="63" t="n">
        <x:v>71.3362864180615</x:v>
      </x:c>
      <x:c r="Q30" s="59" t="n">
        <x:v>26</x:v>
      </x:c>
      <x:c r="R30" s="60" t="b">
        <x:v>0</x:v>
      </x:c>
      <x:c r="S30" s="59"/>
      <x:c r="T30" s="63" t="n">
        <x:v>71.3362864180615</x:v>
      </x:c>
    </x:row>
    <x:row r="31" ht="15" hidden="0">
      <x:c r="A31" s="59" t="str">
        <x:v>Peer 057</x:v>
      </x:c>
      <x:c r="B31" s="59" t="str">
        <x:v>Other peer</x:v>
      </x:c>
      <x:c r="C31" s="63" t="n">
        <x:v>23.954627</x:v>
      </x:c>
      <x:c r="D31" s="65" t="n">
        <x:v>0.1111219139417199</x:v>
      </x:c>
      <x:c r="E31" s="65" t="n">
        <x:v>0.021421790454094734</x:v>
      </x:c>
      <x:c r="F31" s="65" t="n">
        <x:v>0.2593870069444204</x:v>
      </x:c>
      <x:c r="G31" s="65" t="n">
        <x:v>0.15874996806772948</x:v>
      </x:c>
      <x:c r="H31" s="65" t="n">
        <x:v>0.4002815907001182</x:v>
      </x:c>
      <x:c r="I31" s="65" t="n">
        <x:v>0.0028827433943998874</x:v>
      </x:c>
      <x:c r="J31" s="65" t="n">
        <x:v>0.8002545707012265</x:v>
      </x:c>
      <x:c r="K31" s="65" t="n">
        <x:v>0.6040268456375839</x:v>
      </x:c>
      <x:c r="L31" s="65" t="n">
        <x:v>0.42567567567567566</x:v>
      </x:c>
      <x:c r="M31" s="65" t="n">
        <x:v>0.6952519284746507</x:v>
      </x:c>
      <x:c r="N31" s="63" t="n">
        <x:v>62.39063241448817</x:v>
      </x:c>
      <x:c r="O31" s="59" t="n">
        <x:v>33</x:v>
      </x:c>
      <x:c r="P31" s="63" t="n">
        <x:v>70.93101009760525</x:v>
      </x:c>
      <x:c r="Q31" s="59" t="n">
        <x:v>27</x:v>
      </x:c>
      <x:c r="R31" s="60" t="b">
        <x:v>0</x:v>
      </x:c>
      <x:c r="S31" s="59"/>
      <x:c r="T31" s="63" t="n">
        <x:v>70.93101009760525</x:v>
      </x:c>
    </x:row>
    <x:row r="32" ht="15" hidden="0">
      <x:c r="A32" s="59" t="str">
        <x:v>Peer 016</x:v>
      </x:c>
      <x:c r="B32" s="59" t="str">
        <x:v>Other peer</x:v>
      </x:c>
      <x:c r="C32" s="63" t="n">
        <x:v>27.409758</x:v>
      </x:c>
      <x:c r="D32" s="65" t="n">
        <x:v>0.12531920201557417</x:v>
      </x:c>
      <x:c r="E32" s="65" t="n">
        <x:v>0.02486647273573156</x:v>
      </x:c>
      <x:c r="F32" s="65" t="n">
        <x:v>0.278279910388118</x:v>
      </x:c>
      <x:c r="G32" s="65" t="n">
        <x:v>0.2081750956122166</x:v>
      </x:c>
      <x:c r="H32" s="65" t="n">
        <x:v>0.39310863993254436</x:v>
      </x:c>
      <x:c r="I32" s="65" t="n">
        <x:v>0.003724372062334716</x:v>
      </x:c>
      <x:c r="J32" s="65" t="n">
        <x:v>0.8443415875954641</x:v>
      </x:c>
      <x:c r="K32" s="65" t="n">
        <x:v>0.5604026845637584</x:v>
      </x:c>
      <x:c r="L32" s="65" t="n">
        <x:v>0.44594594594594594</x:v>
      </x:c>
      <x:c r="M32" s="65" t="n">
        <x:v>0.687874474288241</x:v>
      </x:c>
      <x:c r="N32" s="63" t="n">
        <x:v>61.011703433806716</x:v>
      </x:c>
      <x:c r="O32" s="59" t="n">
        <x:v>37</x:v>
      </x:c>
      <x:c r="P32" s="63" t="n">
        <x:v>70.69689290214116</x:v>
      </x:c>
      <x:c r="Q32" s="59" t="n">
        <x:v>28</x:v>
      </x:c>
      <x:c r="R32" s="60" t="b">
        <x:v>0</x:v>
      </x:c>
      <x:c r="S32" s="59"/>
      <x:c r="T32" s="63" t="n">
        <x:v>70.69689290214116</x:v>
      </x:c>
    </x:row>
    <x:row r="33" ht="15" hidden="0">
      <x:c r="A33" s="59" t="str">
        <x:v>Peer 068</x:v>
      </x:c>
      <x:c r="B33" s="59" t="str">
        <x:v>Other peer</x:v>
      </x:c>
      <x:c r="C33" s="63" t="n">
        <x:v>10.777878</x:v>
      </x:c>
      <x:c r="D33" s="65" t="n">
        <x:v>0.11525849522512688</x:v>
      </x:c>
      <x:c r="E33" s="65" t="n">
        <x:v>0.021878147071250947</x:v>
      </x:c>
      <x:c r="F33" s="65" t="n">
        <x:v>0.185092371615266</x:v>
      </x:c>
      <x:c r="G33" s="65" t="n">
        <x:v>0.1449226479220635</x:v>
      </x:c>
      <x:c r="H33" s="65" t="n">
        <x:v>0.5054925325395401</x:v>
      </x:c>
      <x:c r="I33" s="65" t="n">
        <x:v>0.0022070565299864516</x:v>
      </x:c>
      <x:c r="J33" s="65" t="n">
        <x:v>0.6758157833834761</x:v>
      </x:c>
      <x:c r="K33" s="65" t="n">
        <x:v>0.7181208053691275</x:v>
      </x:c>
      <x:c r="L33" s="65" t="n">
        <x:v>0.2668918918918919</x:v>
      </x:c>
      <x:c r="M33" s="65" t="n">
        <x:v>0.696647238309684</x:v>
      </x:c>
      <x:c r="N33" s="63" t="n">
        <x:v>59.167736339739676</x:v>
      </x:c>
      <x:c r="O33" s="59" t="n">
        <x:v>45</x:v>
      </x:c>
      <x:c r="P33" s="63" t="n">
        <x:v>70.25421283477141</x:v>
      </x:c>
      <x:c r="Q33" s="59" t="n">
        <x:v>29</x:v>
      </x:c>
      <x:c r="R33" s="60" t="b">
        <x:v>0</x:v>
      </x:c>
      <x:c r="S33" s="59"/>
      <x:c r="T33" s="63" t="n">
        <x:v>70.25421283477141</x:v>
      </x:c>
    </x:row>
    <x:row r="34" ht="15" hidden="0">
      <x:c r="A34" s="59" t="str">
        <x:v>Peer 132</x:v>
      </x:c>
      <x:c r="B34" s="59" t="str">
        <x:v>Other peer</x:v>
      </x:c>
      <x:c r="C34" s="63" t="n">
        <x:v>162.436537</x:v>
      </x:c>
      <x:c r="D34" s="65" t="n">
        <x:v>0.0977964520383736</x:v>
      </x:c>
      <x:c r="E34" s="65" t="n">
        <x:v>0.11508706320179678</x:v>
      </x:c>
      <x:c r="F34" s="65" t="n">
        <x:v>0.21412290388830438</x:v>
      </x:c>
      <x:c r="G34" s="65" t="n">
        <x:v>0.036187538780906144</x:v>
      </x:c>
      <x:c r="H34" s="65" t="n">
        <x:v>0.6975015124465961</x:v>
      </x:c>
      <x:c r="I34" s="65" t="n">
        <x:v>0.007777582946379531</x:v>
      </x:c>
      <x:c r="J34" s="65" t="n">
        <x:v>0.529692200879426</x:v>
      </x:c>
      <x:c r="K34" s="65" t="n">
        <x:v>0.5671140939597316</x:v>
      </x:c>
      <x:c r="L34" s="65" t="n">
        <x:v>0.8817567567567568</x:v>
      </x:c>
      <x:c r="M34" s="65" t="n">
        <x:v>0.5480838554265869</x:v>
      </x:c>
      <x:c r="N34" s="63" t="n">
        <x:v>59.86903940723523</x:v>
      </x:c>
      <x:c r="O34" s="59" t="n">
        <x:v>41</x:v>
      </x:c>
      <x:c r="P34" s="63" t="n">
        <x:v>69.0442632528802</x:v>
      </x:c>
      <x:c r="Q34" s="59" t="n">
        <x:v>30</x:v>
      </x:c>
      <x:c r="R34" s="60" t="b">
        <x:v>0</x:v>
      </x:c>
      <x:c r="S34" s="59"/>
      <x:c r="T34" s="63" t="n">
        <x:v>69.0442632528802</x:v>
      </x:c>
    </x:row>
    <x:row r="35" ht="15" hidden="0">
      <x:c r="A35" s="59" t="str">
        <x:v>Peer 031</x:v>
      </x:c>
      <x:c r="B35" s="59" t="str">
        <x:v>Other peer</x:v>
      </x:c>
      <x:c r="C35" s="63" t="n">
        <x:v>13.173581</x:v>
      </x:c>
      <x:c r="D35" s="65" t="n">
        <x:v>0.10239903637439204</x:v>
      </x:c>
      <x:c r="E35" s="65" t="n">
        <x:v>0.012542375531755565</x:v>
      </x:c>
      <x:c r="F35" s="65" t="n">
        <x:v>0.11643728459254929</x:v>
      </x:c>
      <x:c r="G35" s="65" t="n">
        <x:v>0.05933376922404041</x:v>
      </x:c>
      <x:c r="H35" s="65" t="n">
        <x:v>0.5227659442775077</x:v>
      </x:c>
      <x:c r="I35" s="65" t="n">
        <x:v>0.003240044247892296</x:v>
      </x:c>
      <x:c r="J35" s="65" t="n">
        <x:v>0.42425364498958573</x:v>
      </x:c>
      <x:c r="K35" s="65" t="n">
        <x:v>0.8657718120805369</x:v>
      </x:c>
      <x:c r="L35" s="65" t="n">
        <x:v>0.4763513513513513</x:v>
      </x:c>
      <x:c r="M35" s="65" t="n">
        <x:v>0.6060584518051096</x:v>
      </x:c>
      <x:c r="N35" s="63" t="n">
        <x:v>59.626565931864384</x:v>
      </x:c>
      <x:c r="O35" s="59" t="n">
        <x:v>43</x:v>
      </x:c>
      <x:c r="P35" s="63" t="n">
        <x:v>68.01021577203043</x:v>
      </x:c>
      <x:c r="Q35" s="59" t="n">
        <x:v>31</x:v>
      </x:c>
      <x:c r="R35" s="60" t="b">
        <x:v>0</x:v>
      </x:c>
      <x:c r="S35" s="59"/>
      <x:c r="T35" s="63" t="n">
        <x:v>68.01021577203043</x:v>
      </x:c>
    </x:row>
    <x:row r="36" ht="15" hidden="0">
      <x:c r="A36" s="59" t="str">
        <x:v>Stressed Peer D</x:v>
      </x:c>
      <x:c r="B36" s="59" t="str">
        <x:v>Stressed survivor in 2023</x:v>
      </x:c>
      <x:c r="C36" s="63" t="n">
        <x:v>89.544919</x:v>
      </x:c>
      <x:c r="D36" s="65" t="n">
        <x:v>0.05464853901984098</x:v>
      </x:c>
      <x:c r="E36" s="65" t="n">
        <x:v>0.022302906991294502</x:v>
      </x:c>
      <x:c r="F36" s="65" t="n">
        <x:v>0.26171063932728555</x:v>
      </x:c>
      <x:c r="G36" s="65" t="n">
        <x:v>0.05748361244173136</x:v>
      </x:c>
      <x:c r="H36" s="65" t="n">
        <x:v>0.498355387438062</x:v>
      </x:c>
      <x:c r="I36" s="65" t="n">
        <x:v>0.002781836942649435</x:v>
      </x:c>
      <x:c r="J36" s="65" t="n">
        <x:v>0.6655866697523721</x:v>
      </x:c>
      <x:c r="K36" s="65" t="n">
        <x:v>0.6946308724832215</x:v>
      </x:c>
      <x:c r="L36" s="65" t="n">
        <x:v>0.39864864864864863</x:v>
      </x:c>
      <x:c r="M36" s="65" t="n">
        <x:v>0.6799537110151632</x:v>
      </x:c>
      <x:c r="N36" s="63" t="n">
        <x:v>66.43383752409395</x:v>
      </x:c>
      <x:c r="O36" s="59" t="n">
        <x:v>23</x:v>
      </x:c>
      <x:c r="P36" s="63" t="n">
        <x:v>68.00159772274577</x:v>
      </x:c>
      <x:c r="Q36" s="59" t="n">
        <x:v>32</x:v>
      </x:c>
      <x:c r="R36" s="60" t="b">
        <x:v>0</x:v>
      </x:c>
      <x:c r="S36" s="59"/>
      <x:c r="T36" s="63" t="n">
        <x:v>68.00159772274577</x:v>
      </x:c>
    </x:row>
    <x:row r="37" ht="15" hidden="0">
      <x:c r="A37" s="59" t="str">
        <x:v>Stressed Peer C</x:v>
      </x:c>
      <x:c r="B37" s="59" t="str">
        <x:v>Stressed survivor in 2023</x:v>
      </x:c>
      <x:c r="C37" s="63" t="n">
        <x:v>85.531</x:v>
      </x:c>
      <x:c r="D37" s="65" t="n">
        <x:v>0.0562135366124563</x:v>
      </x:c>
      <x:c r="E37" s="65" t="n">
        <x:v>0.07475652102746373</x:v>
      </x:c>
      <x:c r="F37" s="65" t="n">
        <x:v>0.22278472132910873</x:v>
      </x:c>
      <x:c r="G37" s="65" t="n">
        <x:v>0.009359400998336107</x:v>
      </x:c>
      <x:c r="H37" s="65" t="n">
        <x:v>0.6198580207382377</x:v>
      </x:c>
      <x:c r="I37" s="65" t="n">
        <x:v>0.00492481695784881</x:v>
      </x:c>
      <x:c r="J37" s="65" t="n">
        <x:v>0.477597778292062</x:v>
      </x:c>
      <x:c r="K37" s="65" t="n">
        <x:v>0.5771812080536913</x:v>
      </x:c>
      <x:c r="L37" s="65" t="n">
        <x:v>0.7702702702702703</x:v>
      </x:c>
      <x:c r="M37" s="65" t="n">
        <x:v>0.525033772855015</x:v>
      </x:c>
      <x:c r="N37" s="63" t="n">
        <x:v>60.45224058207946</x:v>
      </x:c>
      <x:c r="O37" s="59" t="n">
        <x:v>39</x:v>
      </x:c>
      <x:c r="P37" s="63" t="n">
        <x:v>67.81638691027993</x:v>
      </x:c>
      <x:c r="Q37" s="59" t="n">
        <x:v>33</x:v>
      </x:c>
      <x:c r="R37" s="60" t="b">
        <x:v>0</x:v>
      </x:c>
      <x:c r="S37" s="59"/>
      <x:c r="T37" s="63" t="n">
        <x:v>67.81638691027993</x:v>
      </x:c>
    </x:row>
    <x:row r="38" ht="15" hidden="0">
      <x:c r="A38" s="59" t="str">
        <x:v>Peer 088</x:v>
      </x:c>
      <x:c r="B38" s="59" t="str">
        <x:v>Other peer</x:v>
      </x:c>
      <x:c r="C38" s="63" t="n">
        <x:v>15.821645</x:v>
      </x:c>
      <x:c r="D38" s="65" t="n">
        <x:v>0.09796187438158295</x:v>
      </x:c>
      <x:c r="E38" s="65" t="n">
        <x:v>0.01536262506205897</x:v>
      </x:c>
      <x:c r="F38" s="65" t="n">
        <x:v>0.24695105976654133</x:v>
      </x:c>
      <x:c r="G38" s="65" t="n">
        <x:v>0.105659138096338</x:v>
      </x:c>
      <x:c r="H38" s="65" t="n">
        <x:v>0.35369164744907033</x:v>
      </x:c>
      <x:c r="I38" s="65" t="n">
        <x:v>0.002253424557515641</x:v>
      </x:c>
      <x:c r="J38" s="65" t="n">
        <x:v>0.7419115945383012</x:v>
      </x:c>
      <x:c r="K38" s="65" t="n">
        <x:v>0.6174496644295302</x:v>
      </x:c>
      <x:c r="L38" s="65" t="n">
        <x:v>0.3547297297297297</x:v>
      </x:c>
      <x:c r="M38" s="65" t="n">
        <x:v>0.6768257272622339</x:v>
      </x:c>
      <x:c r="N38" s="63" t="n">
        <x:v>61.70244548598335</x:v>
      </x:c>
      <x:c r="O38" s="59" t="n">
        <x:v>36</x:v>
      </x:c>
      <x:c r="P38" s="63" t="n">
        <x:v>67.77163044684403</x:v>
      </x:c>
      <x:c r="Q38" s="59" t="n">
        <x:v>34</x:v>
      </x:c>
      <x:c r="R38" s="60" t="b">
        <x:v>0</x:v>
      </x:c>
      <x:c r="S38" s="59"/>
      <x:c r="T38" s="63" t="n">
        <x:v>67.77163044684403</x:v>
      </x:c>
    </x:row>
    <x:row r="39" ht="15" hidden="0">
      <x:c r="A39" s="59" t="str">
        <x:v>Peer 100</x:v>
      </x:c>
      <x:c r="B39" s="59" t="str">
        <x:v>Other peer</x:v>
      </x:c>
      <x:c r="C39" s="63" t="n">
        <x:v>22.629483</x:v>
      </x:c>
      <x:c r="D39" s="65" t="n">
        <x:v>0.10285343240055463</x:v>
      </x:c>
      <x:c r="E39" s="65" t="n">
        <x:v>0.007434062899271715</x:v>
      </x:c>
      <x:c r="F39" s="65" t="n">
        <x:v>0.3167295072538776</x:v>
      </x:c>
      <x:c r="G39" s="65" t="n">
        <x:v>0.022951897298412044</x:v>
      </x:c>
      <x:c r="H39" s="65" t="n">
        <x:v>0.4725146325434921</x:v>
      </x:c>
      <x:c r="I39" s="65" t="n">
        <x:v>0.0028454107027952157</x:v>
      </x:c>
      <x:c r="J39" s="65" t="n">
        <x:v>0.6163850960425827</x:v>
      </x:c>
      <x:c r="K39" s="65" t="n">
        <x:v>0.8154362416107382</x:v>
      </x:c>
      <x:c r="L39" s="65" t="n">
        <x:v>0.5168918918918919</x:v>
      </x:c>
      <x:c r="M39" s="65" t="n">
        <x:v>0.7089589170761854</x:v>
      </x:c>
      <x:c r="N39" s="63" t="n">
        <x:v>65.89412640205184</x:v>
      </x:c>
      <x:c r="O39" s="59" t="n">
        <x:v>24</x:v>
      </x:c>
      <x:c r="P39" s="63" t="n">
        <x:v>67.59735684750017</x:v>
      </x:c>
      <x:c r="Q39" s="59" t="n">
        <x:v>35</x:v>
      </x:c>
      <x:c r="R39" s="60" t="b">
        <x:v>0</x:v>
      </x:c>
      <x:c r="S39" s="59"/>
      <x:c r="T39" s="63" t="n">
        <x:v>67.59735684750017</x:v>
      </x:c>
    </x:row>
    <x:row r="40" ht="15" hidden="0">
      <x:c r="A40" s="59" t="str">
        <x:v>Peer 049</x:v>
      </x:c>
      <x:c r="B40" s="59" t="str">
        <x:v>Other peer</x:v>
      </x:c>
      <x:c r="C40" s="63" t="n">
        <x:v>35.158162</x:v>
      </x:c>
      <x:c r="D40" s="65" t="n">
        <x:v>0.09507729670282536</x:v>
      </x:c>
      <x:c r="E40" s="65" t="n">
        <x:v>0.023275704799357828</x:v>
      </x:c>
      <x:c r="F40" s="65" t="n">
        <x:v>0.23916312803837697</x:v>
      </x:c>
      <x:c r="G40" s="65" t="n">
        <x:v>0.07092887487910378</x:v>
      </x:c>
      <x:c r="H40" s="65" t="n">
        <x:v>0.5038820425976762</x:v>
      </x:c>
      <x:c r="I40" s="65" t="n">
        <x:v>0.0018830620009885697</x:v>
      </x:c>
      <x:c r="J40" s="65" t="n">
        <x:v>0.6664198102291137</x:v>
      </x:c>
      <x:c r="K40" s="65" t="n">
        <x:v>0.697986577181208</x:v>
      </x:c>
      <x:c r="L40" s="65" t="n">
        <x:v>0.472972972972973</x:v>
      </x:c>
      <x:c r="M40" s="65" t="n">
        <x:v>0.6820205878912815</x:v>
      </x:c>
      <x:c r="N40" s="63" t="n">
        <x:v>64.25709503527347</x:v>
      </x:c>
      <x:c r="O40" s="59" t="n">
        <x:v>29</x:v>
      </x:c>
      <x:c r="P40" s="63" t="n">
        <x:v>67.39083552109363</x:v>
      </x:c>
      <x:c r="Q40" s="59" t="n">
        <x:v>36</x:v>
      </x:c>
      <x:c r="R40" s="60" t="b">
        <x:v>0</x:v>
      </x:c>
      <x:c r="S40" s="59"/>
      <x:c r="T40" s="63" t="n">
        <x:v>67.39083552109363</x:v>
      </x:c>
    </x:row>
    <x:row r="41" ht="15" hidden="0">
      <x:c r="A41" s="59" t="str">
        <x:v>Peer 119</x:v>
      </x:c>
      <x:c r="B41" s="59" t="str">
        <x:v>Other peer</x:v>
      </x:c>
      <x:c r="C41" s="63" t="n">
        <x:v>56.05</x:v>
      </x:c>
      <x:c r="D41" s="65" t="n">
        <x:v>0.037734165923282784</x:v>
      </x:c>
      <x:c r="E41" s="65" t="n">
        <x:v>0.10747546833184657</x:v>
      </x:c>
      <x:c r="F41" s="65" t="n">
        <x:v>0.4583586083853702</x:v>
      </x:c>
      <x:c r="G41" s="65" t="n">
        <x:v>0.037825059101654845</x:v>
      </x:c>
      <x:c r="H41" s="65" t="n">
        <x:v>0.5277485533929511</x:v>
      </x:c>
      <x:c r="I41" s="65" t="n">
        <x:v>0.033767745980563396</x:v>
      </x:c>
      <x:c r="J41" s="65" t="n">
        <x:v>0.7042814163388105</x:v>
      </x:c>
      <x:c r="K41" s="65" t="n">
        <x:v>0.4832214765100671</x:v>
      </x:c>
      <x:c r="L41" s="65" t="n">
        <x:v>0.9189189189189189</x:v>
      </x:c>
      <x:c r="M41" s="65" t="n">
        <x:v>0.5833728703683788</x:v>
      </x:c>
      <x:c r="N41" s="63" t="n">
        <x:v>67.88360155581027</x:v>
      </x:c>
      <x:c r="O41" s="59" t="n">
        <x:v>18</x:v>
      </x:c>
      <x:c r="P41" s="63" t="n">
        <x:v>67.12458382329982</x:v>
      </x:c>
      <x:c r="Q41" s="59" t="n">
        <x:v>37</x:v>
      </x:c>
      <x:c r="R41" s="60" t="b">
        <x:v>0</x:v>
      </x:c>
      <x:c r="S41" s="59"/>
      <x:c r="T41" s="63" t="n">
        <x:v>67.12458382329982</x:v>
      </x:c>
    </x:row>
    <x:row r="42" ht="15" hidden="0">
      <x:c r="A42" s="59" t="str">
        <x:v>Peer 064</x:v>
      </x:c>
      <x:c r="B42" s="59" t="str">
        <x:v>Other peer</x:v>
      </x:c>
      <x:c r="C42" s="63" t="n">
        <x:v>71.16637</x:v>
      </x:c>
      <x:c r="D42" s="65" t="n">
        <x:v>0.12047079259487312</x:v>
      </x:c>
      <x:c r="E42" s="65" t="n">
        <x:v>0.011783374647322886</x:v>
      </x:c>
      <x:c r="F42" s="65" t="n">
        <x:v>0.20314924029425696</x:v>
      </x:c>
      <x:c r="G42" s="65" t="n">
        <x:v>0.09368949721518792</x:v>
      </x:c>
      <x:c r="H42" s="65" t="n">
        <x:v>0.4147310836873976</x:v>
      </x:c>
      <x:c r="I42" s="65" t="n">
        <x:v>0.0039206358778049065</x:v>
      </x:c>
      <x:c r="J42" s="65" t="n">
        <x:v>0.6404998842860449</x:v>
      </x:c>
      <x:c r="K42" s="65" t="n">
        <x:v>0.7449664429530202</x:v>
      </x:c>
      <x:c r="L42" s="65" t="n">
        <x:v>0.4527027027027027</x:v>
      </x:c>
      <x:c r="M42" s="65" t="n">
        <x:v>0.6907611168185395</x:v>
      </x:c>
      <x:c r="N42" s="63" t="n">
        <x:v>60.99180917895611</x:v>
      </x:c>
      <x:c r="O42" s="59" t="n">
        <x:v>38</x:v>
      </x:c>
      <x:c r="P42" s="63" t="n">
        <x:v>66.96556760179358</x:v>
      </x:c>
      <x:c r="Q42" s="59" t="n">
        <x:v>38</x:v>
      </x:c>
      <x:c r="R42" s="60" t="b">
        <x:v>0</x:v>
      </x:c>
      <x:c r="S42" s="59"/>
      <x:c r="T42" s="63" t="n">
        <x:v>66.96556760179358</x:v>
      </x:c>
    </x:row>
    <x:row r="43" ht="15" hidden="0">
      <x:c r="A43" s="59" t="str">
        <x:v>Peer 026</x:v>
      </x:c>
      <x:c r="B43" s="59" t="str">
        <x:v>Other peer</x:v>
      </x:c>
      <x:c r="C43" s="63" t="n">
        <x:v>52.953767</x:v>
      </x:c>
      <x:c r="D43" s="65" t="n">
        <x:v>0.05775660870358855</x:v>
      </x:c>
      <x:c r="E43" s="65" t="n">
        <x:v>0.2233765541174814</x:v>
      </x:c>
      <x:c r="F43" s="65" t="n">
        <x:v>0.39355577857190027</x:v>
      </x:c>
      <x:c r="G43" s="65" t="n">
        <x:v>0.055982317725107325</x:v>
      </x:c>
      <x:c r="H43" s="65" t="n">
        <x:v>0.5448424436404552</x:v>
      </x:c>
      <x:c r="I43" s="65" t="n">
        <x:v>0.0038259296167220984</x:v>
      </x:c>
      <x:c r="J43" s="65" t="n">
        <x:v>0.7493867160379541</x:v>
      </x:c>
      <x:c r="K43" s="65" t="n">
        <x:v>0.4463087248322148</x:v>
      </x:c>
      <x:c r="L43" s="65" t="n">
        <x:v>0.6216216216216216</x:v>
      </x:c>
      <x:c r="M43" s="65" t="n">
        <x:v>0.5783232916294314</x:v>
      </x:c>
      <x:c r="N43" s="63" t="n">
        <x:v>63.18038175245707</x:v>
      </x:c>
      <x:c r="O43" s="59" t="n">
        <x:v>31</x:v>
      </x:c>
      <x:c r="P43" s="63" t="n">
        <x:v>66.49336588700547</x:v>
      </x:c>
      <x:c r="Q43" s="59" t="n">
        <x:v>39</x:v>
      </x:c>
      <x:c r="R43" s="60" t="b">
        <x:v>0</x:v>
      </x:c>
      <x:c r="S43" s="59"/>
      <x:c r="T43" s="63" t="n">
        <x:v>66.49336588700547</x:v>
      </x:c>
    </x:row>
    <x:row r="44" ht="15" hidden="0">
      <x:c r="A44" s="59" t="str">
        <x:v>Peer 116</x:v>
      </x:c>
      <x:c r="B44" s="59" t="str">
        <x:v>Other peer</x:v>
      </x:c>
      <x:c r="C44" s="63" t="n">
        <x:v>11.097748</x:v>
      </x:c>
      <x:c r="D44" s="65" t="n">
        <x:v>0.11177700196472293</x:v>
      </x:c>
      <x:c r="E44" s="65" t="n">
        <x:v>0.025027960627687706</x:v>
      </x:c>
      <x:c r="F44" s="65" t="n">
        <x:v>0.23855272258840263</x:v>
      </x:c>
      <x:c r="G44" s="65" t="n">
        <x:v>0.09681790736275599</x:v>
      </x:c>
      <x:c r="H44" s="65" t="n">
        <x:v>0.5090902135939148</x:v>
      </x:c>
      <x:c r="I44" s="65" t="n">
        <x:v>0.000846465610257347</x:v>
      </x:c>
      <x:c r="J44" s="65" t="n">
        <x:v>0.7045359870400371</x:v>
      </x:c>
      <x:c r="K44" s="65" t="n">
        <x:v>0.697986577181208</x:v>
      </x:c>
      <x:c r="L44" s="65" t="n">
        <x:v>0.0945945945945946</x:v>
      </x:c>
      <x:c r="M44" s="65" t="n">
        <x:v>0.701253636065482</x:v>
      </x:c>
      <x:c r="N44" s="63" t="n">
        <x:v>57.32374521412471</x:v>
      </x:c>
      <x:c r="O44" s="59" t="n">
        <x:v>49</x:v>
      </x:c>
      <x:c r="P44" s="63" t="n">
        <x:v>66.30885337768923</x:v>
      </x:c>
      <x:c r="Q44" s="59" t="n">
        <x:v>40</x:v>
      </x:c>
      <x:c r="R44" s="60" t="b">
        <x:v>0</x:v>
      </x:c>
      <x:c r="S44" s="59"/>
      <x:c r="T44" s="63" t="n">
        <x:v>66.30885337768923</x:v>
      </x:c>
    </x:row>
    <x:row r="45" ht="15" hidden="0">
      <x:c r="A45" s="59" t="str">
        <x:v>Peer 008</x:v>
      </x:c>
      <x:c r="B45" s="59" t="str">
        <x:v>Other peer</x:v>
      </x:c>
      <x:c r="C45" s="63" t="n">
        <x:v>32.216733</x:v>
      </x:c>
      <x:c r="D45" s="65" t="n">
        <x:v>0.09753447067398174</x:v>
      </x:c>
      <x:c r="E45" s="65" t="n">
        <x:v>0.027018040593998156</x:v>
      </x:c>
      <x:c r="F45" s="65" t="n">
        <x:v>0.3227497648504583</x:v>
      </x:c>
      <x:c r="G45" s="65" t="n">
        <x:v>0.1265475415324472</x:v>
      </x:c>
      <x:c r="H45" s="65" t="n">
        <x:v>0.34528119662251056</x:v>
      </x:c>
      <x:c r="I45" s="65" t="n">
        <x:v>0.003610336278403557</x:v>
      </x:c>
      <x:c r="J45" s="65" t="n">
        <x:v>0.8128442490164314</x:v>
      </x:c>
      <x:c r="K45" s="65" t="n">
        <x:v>0.47315436241610737</x:v>
      </x:c>
      <x:c r="L45" s="65" t="n">
        <x:v>0.5641891891891893</x:v>
      </x:c>
      <x:c r="M45" s="65" t="n">
        <x:v>0.6201619162662032</x:v>
      </x:c>
      <x:c r="N45" s="63" t="n">
        <x:v>61.93143182135877</x:v>
      </x:c>
      <x:c r="O45" s="59" t="n">
        <x:v>34</x:v>
      </x:c>
      <x:c r="P45" s="63" t="n">
        <x:v>66.24570706691915</x:v>
      </x:c>
      <x:c r="Q45" s="59" t="n">
        <x:v>41</x:v>
      </x:c>
      <x:c r="R45" s="60" t="b">
        <x:v>0</x:v>
      </x:c>
      <x:c r="S45" s="59"/>
      <x:c r="T45" s="63" t="n">
        <x:v>66.24570706691915</x:v>
      </x:c>
    </x:row>
    <x:row r="46" ht="15" hidden="0">
      <x:c r="A46" s="59" t="str">
        <x:v>Peer 032</x:v>
      </x:c>
      <x:c r="B46" s="59" t="str">
        <x:v>Other peer</x:v>
      </x:c>
      <x:c r="C46" s="63" t="n">
        <x:v>15.614778</x:v>
      </x:c>
      <x:c r="D46" s="65" t="n">
        <x:v>0.07336159374151845</x:v>
      </x:c>
      <x:c r="E46" s="65" t="n">
        <x:v>0.01256681330980178</x:v>
      </x:c>
      <x:c r="F46" s="65" t="n">
        <x:v>0.33458253457077647</x:v>
      </x:c>
      <x:c r="G46" s="65" t="n">
        <x:v>0.03919600183322058</x:v>
      </x:c>
      <x:c r="H46" s="65" t="n">
        <x:v>0.41853735612777676</x:v>
      </x:c>
      <x:c r="I46" s="65" t="n">
        <x:v>0.0037871457028371015</x:v>
      </x:c>
      <x:c r="J46" s="65" t="n">
        <x:v>0.6675538069891229</x:v>
      </x:c>
      <x:c r="K46" s="65" t="n">
        <x:v>0.7416107382550335</x:v>
      </x:c>
      <x:c r="L46" s="65" t="n">
        <x:v>0.6452702702702703</x:v>
      </x:c>
      <x:c r="M46" s="65" t="n">
        <x:v>0.7036086068448578</x:v>
      </x:c>
      <x:c r="N46" s="63" t="n">
        <x:v>70.99087813474128</x:v>
      </x:c>
      <x:c r="O46" s="59" t="n">
        <x:v>9</x:v>
      </x:c>
      <x:c r="P46" s="63" t="n">
        <x:v>65.9995186282624</x:v>
      </x:c>
      <x:c r="Q46" s="59" t="n">
        <x:v>42</x:v>
      </x:c>
      <x:c r="R46" s="60" t="b">
        <x:v>0</x:v>
      </x:c>
      <x:c r="S46" s="59"/>
      <x:c r="T46" s="63" t="n">
        <x:v>65.9995186282624</x:v>
      </x:c>
    </x:row>
    <x:row r="47" ht="15" hidden="0">
      <x:c r="A47" s="59" t="str">
        <x:v>Peer 103</x:v>
      </x:c>
      <x:c r="B47" s="59" t="str">
        <x:v>Other peer</x:v>
      </x:c>
      <x:c r="C47" s="63" t="n">
        <x:v>31.498</x:v>
      </x:c>
      <x:c r="D47" s="65" t="n">
        <x:v>0.01006413105594006</x:v>
      </x:c>
      <x:c r="E47" s="65" t="n">
        <x:v>0.04257413169090101</x:v>
      </x:c>
      <x:c r="F47" s="65" t="n">
        <x:v>0.9216458187821449</x:v>
      </x:c>
      <x:c r="G47" s="65" t="n">
        <x:v>3.277602523659306</x:v>
      </x:c>
      <x:c r="H47" s="65" t="n">
        <x:v>0.03243682055626147</x:v>
      </x:c>
      <x:c r="I47" s="65" t="n">
        <x:v>0</x:v>
      </x:c>
      <x:c r="J47" s="65" t="n">
        <x:v>1</x:v>
      </x:c>
      <x:c r="K47" s="65" t="n">
        <x:v>0.24161073825503354</x:v>
      </x:c>
      <x:c r="L47" s="65" t="n">
        <x:v>0.018581081081081082</x:v>
      </x:c>
      <x:c r="M47" s="65" t="n">
        <x:v>0.49153915231142425</x:v>
      </x:c>
      <x:c r="N47" s="63" t="n">
        <x:v>54.90012564853859</x:v>
      </x:c>
      <x:c r="O47" s="59" t="n">
        <x:v>56</x:v>
      </x:c>
      <x:c r="P47" s="63" t="n">
        <x:v>65.96395690800973</x:v>
      </x:c>
      <x:c r="Q47" s="59" t="n">
        <x:v>43</x:v>
      </x:c>
      <x:c r="R47" s="60" t="b">
        <x:v>0</x:v>
      </x:c>
      <x:c r="S47" s="59"/>
      <x:c r="T47" s="63" t="n">
        <x:v>65.96395690800973</x:v>
      </x:c>
    </x:row>
    <x:row r="48" ht="15" hidden="0">
      <x:c r="A48" s="59" t="str">
        <x:v>Peer 097</x:v>
      </x:c>
      <x:c r="B48" s="59" t="str">
        <x:v>Other peer</x:v>
      </x:c>
      <x:c r="C48" s="63" t="n">
        <x:v>110.9</x:v>
      </x:c>
      <x:c r="D48" s="65" t="n">
        <x:v>0.026654643823264202</x:v>
      </x:c>
      <x:c r="E48" s="65" t="n">
        <x:v>0.07659152389540126</x:v>
      </x:c>
      <x:c r="F48" s="65" t="n">
        <x:v>0.5274120829576194</x:v>
      </x:c>
      <x:c r="G48" s="65" t="n">
        <x:v>1.073748308525034</x:v>
      </x:c>
      <x:c r="H48" s="65" t="n">
        <x:v>0.0728129654307439</x:v>
      </x:c>
      <x:c r="I48" s="65" t="n">
        <x:v>0.0105982905982906</x:v>
      </x:c>
      <x:c r="J48" s="65" t="n">
        <x:v>0.969613515389956</x:v>
      </x:c>
      <x:c r="K48" s="65" t="n">
        <x:v>0.174496644295302</x:v>
      </x:c>
      <x:c r="L48" s="65" t="n">
        <x:v>0.8243243243243243</x:v>
      </x:c>
      <x:c r="M48" s="65" t="n">
        <x:v>0.4113323530904401</x:v>
      </x:c>
      <x:c r="N48" s="63" t="n">
        <x:v>62.72022391729646</x:v>
      </x:c>
      <x:c r="O48" s="59" t="n">
        <x:v>32</x:v>
      </x:c>
      <x:c r="P48" s="63" t="n">
        <x:v>65.77212890097266</x:v>
      </x:c>
      <x:c r="Q48" s="59" t="n">
        <x:v>44</x:v>
      </x:c>
      <x:c r="R48" s="60" t="b">
        <x:v>0</x:v>
      </x:c>
      <x:c r="S48" s="59"/>
      <x:c r="T48" s="63" t="n">
        <x:v>65.77212890097266</x:v>
      </x:c>
    </x:row>
    <x:row r="49" ht="15" hidden="0">
      <x:c r="A49" s="59" t="str">
        <x:v>Peer 012</x:v>
      </x:c>
      <x:c r="B49" s="59" t="str">
        <x:v>Other peer</x:v>
      </x:c>
      <x:c r="C49" s="63" t="n">
        <x:v>12.922116</x:v>
      </x:c>
      <x:c r="D49" s="65" t="n">
        <x:v>0.08693026745774454</x:v>
      </x:c>
      <x:c r="E49" s="65" t="n">
        <x:v>0.025589926603351958</x:v>
      </x:c>
      <x:c r="F49" s="65" t="n">
        <x:v>0.42027931029252485</x:v>
      </x:c>
      <x:c r="G49" s="65" t="n">
        <x:v>0.0034843050485034136</x:v>
      </x:c>
      <x:c r="H49" s="65" t="n">
        <x:v>0.50779494633778</x:v>
      </x:c>
      <x:c r="I49" s="65" t="n">
        <x:v>0.0037661340167928115</x:v>
      </x:c>
      <x:c r="J49" s="65" t="n">
        <x:v>0.5940291599166859</x:v>
      </x:c>
      <x:c r="K49" s="65" t="n">
        <x:v>0.6845637583892618</x:v>
      </x:c>
      <x:c r="L49" s="65" t="n">
        <x:v>0.34797297297297297</x:v>
      </x:c>
      <x:c r="M49" s="65" t="n">
        <x:v>0.6376918019744195</x:v>
      </x:c>
      <x:c r="N49" s="63" t="n">
        <x:v>60.31517296649277</x:v>
      </x:c>
      <x:c r="O49" s="59" t="n">
        <x:v>40</x:v>
      </x:c>
      <x:c r="P49" s="63" t="n">
        <x:v>65.44672103858144</x:v>
      </x:c>
      <x:c r="Q49" s="59" t="n">
        <x:v>45</x:v>
      </x:c>
      <x:c r="R49" s="60" t="b">
        <x:v>0</x:v>
      </x:c>
      <x:c r="S49" s="59"/>
      <x:c r="T49" s="63" t="n">
        <x:v>65.44672103858144</x:v>
      </x:c>
    </x:row>
    <x:row r="50" ht="15" hidden="0">
      <x:c r="A50" s="59" t="str">
        <x:v>Peer 079</x:v>
      </x:c>
      <x:c r="B50" s="59" t="str">
        <x:v>Other peer</x:v>
      </x:c>
      <x:c r="C50" s="63" t="n">
        <x:v>13.020948</x:v>
      </x:c>
      <x:c r="D50" s="65" t="n">
        <x:v>0.1193201140193479</x:v>
      </x:c>
      <x:c r="E50" s="65" t="n">
        <x:v>0.022584607510912416</x:v>
      </x:c>
      <x:c r="F50" s="65" t="n">
        <x:v>0.17267475455704148</x:v>
      </x:c>
      <x:c r="G50" s="65" t="n">
        <x:v>0.054107685009792995</x:v>
      </x:c>
      <x:c r="H50" s="65" t="n">
        <x:v>0.5391434537754328</x:v>
      </x:c>
      <x:c r="I50" s="65" t="n">
        <x:v>0.00170624106754665</x:v>
      </x:c>
      <x:c r="J50" s="65" t="n">
        <x:v>0.49752372136079615</x:v>
      </x:c>
      <x:c r="K50" s="65" t="n">
        <x:v>0.7583892617449665</x:v>
      </x:c>
      <x:c r="L50" s="65" t="n">
        <x:v>0.1858108108108108</x:v>
      </x:c>
      <x:c r="M50" s="65" t="n">
        <x:v>0.6142610582996635</x:v>
      </x:c>
      <x:c r="N50" s="63" t="n">
        <x:v>52.023295116036884</x:v>
      </x:c>
      <x:c r="O50" s="59" t="n">
        <x:v>72</x:v>
      </x:c>
      <x:c r="P50" s="63" t="n">
        <x:v>65.17169248456942</x:v>
      </x:c>
      <x:c r="Q50" s="59" t="n">
        <x:v>46</x:v>
      </x:c>
      <x:c r="R50" s="60" t="b">
        <x:v>0</x:v>
      </x:c>
      <x:c r="S50" s="59"/>
      <x:c r="T50" s="63" t="n">
        <x:v>65.17169248456942</x:v>
      </x:c>
    </x:row>
    <x:row r="51" ht="15" hidden="0">
      <x:c r="A51" s="59" t="str">
        <x:v>Peer 052</x:v>
      </x:c>
      <x:c r="B51" s="59" t="str">
        <x:v>Other peer</x:v>
      </x:c>
      <x:c r="C51" s="63" t="n">
        <x:v>10.625188</x:v>
      </x:c>
      <x:c r="D51" s="65" t="n">
        <x:v>0.1034102173062726</x:v>
      </x:c>
      <x:c r="E51" s="65" t="n">
        <x:v>0.025581853234032188</x:v>
      </x:c>
      <x:c r="F51" s="65" t="n">
        <x:v>0.268813408289811</x:v>
      </x:c>
      <x:c r="G51" s="65" t="n">
        <x:v>0.099360820857827</x:v>
      </x:c>
      <x:c r="H51" s="65" t="n">
        <x:v>0.38066243971658237</x:v>
      </x:c>
      <x:c r="I51" s="65" t="n">
        <x:v>0.004277553778058321</x:v>
      </x:c>
      <x:c r="J51" s="65" t="n">
        <x:v>0.7652163850960425</x:v>
      </x:c>
      <x:c r="K51" s="65" t="n">
        <x:v>0.540268456375839</x:v>
      </x:c>
      <x:c r="L51" s="65" t="n">
        <x:v>0.43581081081081086</x:v>
      </x:c>
      <x:c r="M51" s="65" t="n">
        <x:v>0.6429792183028457</x:v>
      </x:c>
      <x:c r="N51" s="63" t="n">
        <x:v>59.82915430155096</x:v>
      </x:c>
      <x:c r="O51" s="59" t="n">
        <x:v>42</x:v>
      </x:c>
      <x:c r="P51" s="63" t="n">
        <x:v>65.02359560594758</x:v>
      </x:c>
      <x:c r="Q51" s="59" t="n">
        <x:v>47</x:v>
      </x:c>
      <x:c r="R51" s="60" t="b">
        <x:v>0</x:v>
      </x:c>
      <x:c r="S51" s="59"/>
      <x:c r="T51" s="63" t="n">
        <x:v>65.02359560594758</x:v>
      </x:c>
    </x:row>
    <x:row r="52" ht="15" hidden="0">
      <x:c r="A52" s="59" t="str">
        <x:v>Peer 125</x:v>
      </x:c>
      <x:c r="B52" s="59" t="str">
        <x:v>Other peer</x:v>
      </x:c>
      <x:c r="C52" s="63" t="n">
        <x:v>21.228609</x:v>
      </x:c>
      <x:c r="D52" s="65" t="n">
        <x:v>0.0759615479280814</x:v>
      </x:c>
      <x:c r="E52" s="65" t="n">
        <x:v>0.009549094808802592</x:v>
      </x:c>
      <x:c r="F52" s="65" t="n">
        <x:v>0.21200998143590097</x:v>
      </x:c>
      <x:c r="G52" s="65" t="n">
        <x:v>0.11610807177168202</x:v>
      </x:c>
      <x:c r="H52" s="65" t="n">
        <x:v>0.07943427473228892</x:v>
      </x:c>
      <x:c r="I52" s="65" t="n">
        <x:v>0.0006396948309676341</x:v>
      </x:c>
      <x:c r="J52" s="65" t="n">
        <x:v>0.6884980328627632</x:v>
      </x:c>
      <x:c r="K52" s="65" t="n">
        <x:v>0.5570469798657718</x:v>
      </x:c>
      <x:c r="L52" s="65" t="n">
        <x:v>0.07770270270270271</x:v>
      </x:c>
      <x:c r="M52" s="65" t="n">
        <x:v>0.6192945582271228</x:v>
      </x:c>
      <x:c r="N52" s="63" t="n">
        <x:v>56.028205847527566</x:v>
      </x:c>
      <x:c r="O52" s="59" t="n">
        <x:v>52</x:v>
      </x:c>
      <x:c r="P52" s="63" t="n">
        <x:v>64.92460139177965</x:v>
      </x:c>
      <x:c r="Q52" s="59" t="n">
        <x:v>48</x:v>
      </x:c>
      <x:c r="R52" s="60" t="b">
        <x:v>0</x:v>
      </x:c>
      <x:c r="S52" s="59"/>
      <x:c r="T52" s="63" t="n">
        <x:v>64.92460139177965</x:v>
      </x:c>
    </x:row>
    <x:row r="53" ht="15" hidden="0">
      <x:c r="A53" s="59" t="str">
        <x:v>Peer 134</x:v>
      </x:c>
      <x:c r="B53" s="59" t="str">
        <x:v>Other peer</x:v>
      </x:c>
      <x:c r="C53" s="63" t="n">
        <x:v>14.59477</x:v>
      </x:c>
      <x:c r="D53" s="65" t="n">
        <x:v>0.09298248619197151</x:v>
      </x:c>
      <x:c r="E53" s="65" t="n">
        <x:v>0.055810266280318224</x:v>
      </x:c>
      <x:c r="F53" s="65" t="n">
        <x:v>0.11503682483519781</x:v>
      </x:c>
      <x:c r="G53" s="65" t="n">
        <x:v>0.07522596676044797</x:v>
      </x:c>
      <x:c r="H53" s="65" t="n">
        <x:v>0.6623539470575078</x:v>
      </x:c>
      <x:c r="I53" s="65" t="n">
        <x:v>0.0015116032875446713</x:v>
      </x:c>
      <x:c r="J53" s="65" t="n">
        <x:v>0.4452210136542467</x:v>
      </x:c>
      <x:c r="K53" s="65" t="n">
        <x:v>0.6275167785234899</x:v>
      </x:c>
      <x:c r="L53" s="65" t="n">
        <x:v>0.13851351351351351</x:v>
      </x:c>
      <x:c r="M53" s="65" t="n">
        <x:v>0.5285675512356728</x:v>
      </x:c>
      <x:c r="N53" s="63" t="n">
        <x:v>48.39524628829403</x:v>
      </x:c>
      <x:c r="O53" s="59" t="n">
        <x:v>85</x:v>
      </x:c>
      <x:c r="P53" s="63" t="n">
        <x:v>64.92152099913129</x:v>
      </x:c>
      <x:c r="Q53" s="59" t="n">
        <x:v>49</x:v>
      </x:c>
      <x:c r="R53" s="60" t="b">
        <x:v>0</x:v>
      </x:c>
      <x:c r="S53" s="59"/>
      <x:c r="T53" s="63" t="n">
        <x:v>64.92152099913129</x:v>
      </x:c>
    </x:row>
    <x:row r="54" ht="15" hidden="0">
      <x:c r="A54" s="59" t="str">
        <x:v>Peer 069</x:v>
      </x:c>
      <x:c r="B54" s="59" t="str">
        <x:v>Other peer</x:v>
      </x:c>
      <x:c r="C54" s="63" t="n">
        <x:v>12.512286</x:v>
      </x:c>
      <x:c r="D54" s="65" t="n">
        <x:v>0.08888136028859954</x:v>
      </x:c>
      <x:c r="E54" s="65" t="n">
        <x:v>0.08091071447695489</x:v>
      </x:c>
      <x:c r="F54" s="65" t="n">
        <x:v>0.1943780696828701</x:v>
      </x:c>
      <x:c r="G54" s="65" t="n">
        <x:v>0.10936338074775044</x:v>
      </x:c>
      <x:c r="H54" s="65" t="n">
        <x:v>0.539573957979344</x:v>
      </x:c>
      <x:c r="I54" s="65" t="n">
        <x:v>0.0028684570761265678</x:v>
      </x:c>
      <x:c r="J54" s="65" t="n">
        <x:v>0.6649155288127748</x:v>
      </x:c>
      <x:c r="K54" s="65" t="n">
        <x:v>0.5234899328859061</x:v>
      </x:c>
      <x:c r="L54" s="65" t="n">
        <x:v>0.23310810810810811</x:v>
      </x:c>
      <x:c r="M54" s="65" t="n">
        <x:v>0.5899801569146171</x:v>
      </x:c>
      <x:c r="N54" s="63" t="n">
        <x:v>54.826074033197855</x:v>
      </x:c>
      <x:c r="O54" s="59" t="n">
        <x:v>57</x:v>
      </x:c>
      <x:c r="P54" s="63" t="n">
        <x:v>64.00367642588218</x:v>
      </x:c>
      <x:c r="Q54" s="59" t="n">
        <x:v>50</x:v>
      </x:c>
      <x:c r="R54" s="60" t="b">
        <x:v>0</x:v>
      </x:c>
      <x:c r="S54" s="59"/>
      <x:c r="T54" s="63" t="n">
        <x:v>64.00367642588218</x:v>
      </x:c>
    </x:row>
    <x:row r="55" ht="15" hidden="0">
      <x:c r="A55" s="59" t="str">
        <x:v>Peer 033</x:v>
      </x:c>
      <x:c r="B55" s="59" t="str">
        <x:v>Other peer</x:v>
      </x:c>
      <x:c r="C55" s="63" t="n">
        <x:v>11.659908</x:v>
      </x:c>
      <x:c r="D55" s="65" t="n">
        <x:v>0.10350827810991305</x:v>
      </x:c>
      <x:c r="E55" s="65" t="n">
        <x:v>0.01665287582028949</x:v>
      </x:c>
      <x:c r="F55" s="65" t="n">
        <x:v>0.2103813340551229</x:v>
      </x:c>
      <x:c r="G55" s="65" t="n">
        <x:v>0.09375696517598436</x:v>
      </x:c>
      <x:c r="H55" s="65" t="n">
        <x:v>0.36895428489061166</x:v>
      </x:c>
      <x:c r="I55" s="65" t="n">
        <x:v>0.0025833335480385817</x:v>
      </x:c>
      <x:c r="J55" s="65" t="n">
        <x:v>0.6506595695440871</x:v>
      </x:c>
      <x:c r="K55" s="65" t="n">
        <x:v>0.6140939597315436</x:v>
      </x:c>
      <x:c r="L55" s="65" t="n">
        <x:v>0.45945945945945943</x:v>
      </x:c>
      <x:c r="M55" s="65" t="n">
        <x:v>0.6321124199844124</x:v>
      </x:c>
      <x:c r="N55" s="63" t="n">
        <x:v>58.72997717337527</x:v>
      </x:c>
      <x:c r="O55" s="59" t="n">
        <x:v>47</x:v>
      </x:c>
      <x:c r="P55" s="63" t="n">
        <x:v>63.98282271619406</x:v>
      </x:c>
      <x:c r="Q55" s="59" t="n">
        <x:v>51</x:v>
      </x:c>
      <x:c r="R55" s="60" t="b">
        <x:v>0</x:v>
      </x:c>
      <x:c r="S55" s="59"/>
      <x:c r="T55" s="63" t="n">
        <x:v>63.98282271619406</x:v>
      </x:c>
    </x:row>
    <x:row r="56" ht="15" hidden="0">
      <x:c r="A56" s="59" t="str">
        <x:v>Peer 054</x:v>
      </x:c>
      <x:c r="B56" s="59" t="str">
        <x:v>Other peer</x:v>
      </x:c>
      <x:c r="C56" s="63" t="n">
        <x:v>12.304953</x:v>
      </x:c>
      <x:c r="D56" s="65" t="n">
        <x:v>0.11127722308244493</x:v>
      </x:c>
      <x:c r="E56" s="65" t="n">
        <x:v>0.018152608953484015</x:v>
      </x:c>
      <x:c r="F56" s="65" t="n">
        <x:v>0.2745834949552428</x:v>
      </x:c>
      <x:c r="G56" s="65" t="n">
        <x:v>0.09714510235813333</x:v>
      </x:c>
      <x:c r="H56" s="65" t="n">
        <x:v>0.3397075000344372</x:v>
      </x:c>
      <x:c r="I56" s="65" t="n">
        <x:v>0.0020370249341428804</x:v>
      </x:c>
      <x:c r="J56" s="65" t="n">
        <x:v>0.7651238139319602</x:v>
      </x:c>
      <x:c r="K56" s="65" t="n">
        <x:v>0.5436241610738255</x:v>
      </x:c>
      <x:c r="L56" s="65" t="n">
        <x:v>0.21283783783783783</x:v>
      </x:c>
      <x:c r="M56" s="65" t="n">
        <x:v>0.6449339434906242</x:v>
      </x:c>
      <x:c r="N56" s="63" t="n">
        <x:v>55.508326314928084</x:v>
      </x:c>
      <x:c r="O56" s="59" t="n">
        <x:v>55</x:v>
      </x:c>
      <x:c r="P56" s="63" t="n">
        <x:v>63.27170860517154</x:v>
      </x:c>
      <x:c r="Q56" s="59" t="n">
        <x:v>52</x:v>
      </x:c>
      <x:c r="R56" s="60" t="b">
        <x:v>0</x:v>
      </x:c>
      <x:c r="S56" s="59"/>
      <x:c r="T56" s="63" t="n">
        <x:v>63.27170860517154</x:v>
      </x:c>
    </x:row>
    <x:row r="57" ht="15" hidden="0">
      <x:c r="A57" s="59" t="str">
        <x:v>Peer 055</x:v>
      </x:c>
      <x:c r="B57" s="59" t="str">
        <x:v>Other peer</x:v>
      </x:c>
      <x:c r="C57" s="63" t="n">
        <x:v>176.980258</x:v>
      </x:c>
      <x:c r="D57" s="65" t="n">
        <x:v>0.10475948678976386</x:v>
      </x:c>
      <x:c r="E57" s="65" t="n">
        <x:v>0.10913252821679127</x:v>
      </x:c>
      <x:c r="F57" s="65" t="n">
        <x:v>0.25391398175043906</x:v>
      </x:c>
      <x:c r="G57" s="65" t="n">
        <x:v>0.007383405317728172</x:v>
      </x:c>
      <x:c r="H57" s="65" t="n">
        <x:v>0.5833676991595924</x:v>
      </x:c>
      <x:c r="I57" s="65" t="n">
        <x:v>0.0044812425144238706</x:v>
      </x:c>
      <x:c r="J57" s="65" t="n">
        <x:v>0.5107845406155982</x:v>
      </x:c>
      <x:c r="K57" s="65" t="n">
        <x:v>0.5335570469798658</x:v>
      </x:c>
      <x:c r="L57" s="65" t="n">
        <x:v>0.6013513513513513</x:v>
      </x:c>
      <x:c r="M57" s="65" t="n">
        <x:v>0.5220466369337379</x:v>
      </x:c>
      <x:c r="N57" s="63" t="n">
        <x:v>52.319148486623014</x:v>
      </x:c>
      <x:c r="O57" s="59" t="n">
        <x:v>69</x:v>
      </x:c>
      <x:c r="P57" s="63" t="n">
        <x:v>63.094530504457204</x:v>
      </x:c>
      <x:c r="Q57" s="59" t="n">
        <x:v>53</x:v>
      </x:c>
      <x:c r="R57" s="60" t="b">
        <x:v>0</x:v>
      </x:c>
      <x:c r="S57" s="59"/>
      <x:c r="T57" s="63" t="n">
        <x:v>63.094530504457204</x:v>
      </x:c>
    </x:row>
    <x:row r="58" ht="15" hidden="0">
      <x:c r="A58" s="59" t="str">
        <x:v>Peer 095</x:v>
      </x:c>
      <x:c r="B58" s="59" t="str">
        <x:v>Other peer</x:v>
      </x:c>
      <x:c r="C58" s="63" t="n">
        <x:v>64.087895</x:v>
      </x:c>
      <x:c r="D58" s="65" t="n">
        <x:v>0.09190152056016195</x:v>
      </x:c>
      <x:c r="E58" s="65" t="n">
        <x:v>0.05635084441453413</x:v>
      </x:c>
      <x:c r="F58" s="65" t="n">
        <x:v>0.1413810673606927</x:v>
      </x:c>
      <x:c r="G58" s="65" t="n">
        <x:v>0.09688842103475939</x:v>
      </x:c>
      <x:c r="H58" s="65" t="n">
        <x:v>0.551530767909054</x:v>
      </x:c>
      <x:c r="I58" s="65" t="n">
        <x:v>0.00206227624190882</x:v>
      </x:c>
      <x:c r="J58" s="65" t="n">
        <x:v>0.5234205045128443</x:v>
      </x:c>
      <x:c r="K58" s="65" t="n">
        <x:v>0.5738255033557047</x:v>
      </x:c>
      <x:c r="L58" s="65" t="n">
        <x:v>0.2736486486486487</x:v>
      </x:c>
      <x:c r="M58" s="65" t="n">
        <x:v>0.548043825317629</x:v>
      </x:c>
      <x:c r="N58" s="63" t="n">
        <x:v>51.58759493175753</x:v>
      </x:c>
      <x:c r="O58" s="59" t="n">
        <x:v>73</x:v>
      </x:c>
      <x:c r="P58" s="63" t="n">
        <x:v>62.86626392918389</x:v>
      </x:c>
      <x:c r="Q58" s="59" t="n">
        <x:v>54</x:v>
      </x:c>
      <x:c r="R58" s="60" t="b">
        <x:v>0</x:v>
      </x:c>
      <x:c r="S58" s="59"/>
      <x:c r="T58" s="63" t="n">
        <x:v>62.86626392918389</x:v>
      </x:c>
    </x:row>
    <x:row r="59" ht="15" hidden="0">
      <x:c r="A59" s="59" t="str">
        <x:v>Peer 044</x:v>
      </x:c>
      <x:c r="B59" s="59" t="str">
        <x:v>Other peer</x:v>
      </x:c>
      <x:c r="C59" s="63" t="n">
        <x:v>22.808174</x:v>
      </x:c>
      <x:c r="D59" s="65" t="n">
        <x:v>0.1549980721823676</x:v>
      </x:c>
      <x:c r="E59" s="65" t="n">
        <x:v>0.03165610714825308</x:v>
      </x:c>
      <x:c r="F59" s="65" t="n">
        <x:v>0.23349462346262354</x:v>
      </x:c>
      <x:c r="G59" s="65" t="n">
        <x:v>0.045132937865588675</x:v>
      </x:c>
      <x:c r="H59" s="65" t="n">
        <x:v>0.519280341788138</x:v>
      </x:c>
      <x:c r="I59" s="65" t="n">
        <x:v>0.004223469549213435</x:v>
      </x:c>
      <x:c r="J59" s="65" t="n">
        <x:v>0.5773200647998149</x:v>
      </x:c>
      <x:c r="K59" s="65" t="n">
        <x:v>0.651006711409396</x:v>
      </x:c>
      <x:c r="L59" s="65" t="n">
        <x:v>0.5304054054054054</x:v>
      </x:c>
      <x:c r="M59" s="65" t="n">
        <x:v>0.6130572867326405</x:v>
      </x:c>
      <x:c r="N59" s="63" t="n">
        <x:v>54.484502289036676</x:v>
      </x:c>
      <x:c r="O59" s="59" t="n">
        <x:v>59</x:v>
      </x:c>
      <x:c r="P59" s="63" t="n">
        <x:v>62.63985639972659</x:v>
      </x:c>
      <x:c r="Q59" s="59" t="n">
        <x:v>55</x:v>
      </x:c>
      <x:c r="R59" s="60" t="b">
        <x:v>0</x:v>
      </x:c>
      <x:c r="S59" s="59"/>
      <x:c r="T59" s="63" t="n">
        <x:v>62.63985639972659</x:v>
      </x:c>
    </x:row>
    <x:row r="60" ht="15" hidden="0">
      <x:c r="A60" s="59" t="str">
        <x:v>Peer 015</x:v>
      </x:c>
      <x:c r="B60" s="59" t="str">
        <x:v>Other peer</x:v>
      </x:c>
      <x:c r="C60" s="63" t="n">
        <x:v>46.490438</x:v>
      </x:c>
      <x:c r="D60" s="65" t="n">
        <x:v>0.10755228849424908</x:v>
      </x:c>
      <x:c r="E60" s="65" t="n">
        <x:v>0.015749797840149408</x:v>
      </x:c>
      <x:c r="F60" s="65" t="n">
        <x:v>0.21226379927846667</x:v>
      </x:c>
      <x:c r="G60" s="65" t="n">
        <x:v>0.09335754325917626</x:v>
      </x:c>
      <x:c r="H60" s="65" t="n">
        <x:v>0.3382248365751162</x:v>
      </x:c>
      <x:c r="I60" s="65" t="n">
        <x:v>0.007734819796279926</x:v>
      </x:c>
      <x:c r="J60" s="65" t="n">
        <x:v>0.6470261513538533</x:v>
      </x:c>
      <x:c r="K60" s="65" t="n">
        <x:v>0.5738255033557047</x:v>
      </x:c>
      <x:c r="L60" s="65" t="n">
        <x:v>0.6385135135135135</x:v>
      </x:c>
      <x:c r="M60" s="65" t="n">
        <x:v>0.6093275859379167</x:v>
      </x:c>
      <x:c r="N60" s="63" t="n">
        <x:v>59.27420061581681</x:v>
      </x:c>
      <x:c r="O60" s="59" t="n">
        <x:v>44</x:v>
      </x:c>
      <x:c r="P60" s="63" t="n">
        <x:v>62.4991146577677</x:v>
      </x:c>
      <x:c r="Q60" s="59" t="n">
        <x:v>56</x:v>
      </x:c>
      <x:c r="R60" s="60" t="b">
        <x:v>0</x:v>
      </x:c>
      <x:c r="S60" s="59"/>
      <x:c r="T60" s="63" t="n">
        <x:v>62.4991146577677</x:v>
      </x:c>
    </x:row>
    <x:row r="61" ht="15" hidden="0">
      <x:c r="A61" s="59" t="str">
        <x:v>Peer 081</x:v>
      </x:c>
      <x:c r="B61" s="59" t="str">
        <x:v>Other peer</x:v>
      </x:c>
      <x:c r="C61" s="63" t="n">
        <x:v>11.353376</x:v>
      </x:c>
      <x:c r="D61" s="65" t="n">
        <x:v>0.0503610556014352</x:v>
      </x:c>
      <x:c r="E61" s="65" t="n">
        <x:v>0.4029271998038293</x:v>
      </x:c>
      <x:c r="F61" s="65" t="n">
        <x:v>0.5049193297218378</x:v>
      </x:c>
      <x:c r="G61" s="65" t="n">
        <x:v>0</x:v>
      </x:c>
      <x:c r="H61" s="65" t="n">
        <x:v>0.588780439976317</x:v>
      </x:c>
      <x:c r="I61" s="65" t="n">
        <x:v>0.0056324770753628465</x:v>
      </x:c>
      <x:c r="J61" s="65" t="n">
        <x:v>0.4990164313816246</x:v>
      </x:c>
      <x:c r="K61" s="65" t="n">
        <x:v>0.4563758389261745</x:v>
      </x:c>
      <x:c r="L61" s="65" t="n">
        <x:v>0.45608108108108103</x:v>
      </x:c>
      <x:c r="M61" s="65" t="n">
        <x:v>0.47722011955672483</x:v>
      </x:c>
      <x:c r="N61" s="63" t="n">
        <x:v>52.24749301535279</x:v>
      </x:c>
      <x:c r="O61" s="59" t="n">
        <x:v>70</x:v>
      </x:c>
      <x:c r="P61" s="63" t="n">
        <x:v>62.29107717862738</x:v>
      </x:c>
      <x:c r="Q61" s="59" t="n">
        <x:v>57</x:v>
      </x:c>
      <x:c r="R61" s="60" t="b">
        <x:v>0</x:v>
      </x:c>
      <x:c r="S61" s="59"/>
      <x:c r="T61" s="63" t="n">
        <x:v>62.29107717862738</x:v>
      </x:c>
    </x:row>
    <x:row r="62" ht="15" hidden="0">
      <x:c r="A62" s="59" t="str">
        <x:v>Peer 034</x:v>
      </x:c>
      <x:c r="B62" s="59" t="str">
        <x:v>Other peer</x:v>
      </x:c>
      <x:c r="C62" s="63" t="n">
        <x:v>26.819331</x:v>
      </x:c>
      <x:c r="D62" s="65" t="n">
        <x:v>0.10099435366228934</x:v>
      </x:c>
      <x:c r="E62" s="65" t="n">
        <x:v>0.02223459638124456</x:v>
      </x:c>
      <x:c r="F62" s="65" t="n">
        <x:v>0.15106383526121514</x:v>
      </x:c>
      <x:c r="G62" s="65" t="n">
        <x:v>0.10323225901489366</x:v>
      </x:c>
      <x:c r="H62" s="65" t="n">
        <x:v>0.35629146898617325</x:v>
      </x:c>
      <x:c r="I62" s="65" t="n">
        <x:v>0.00884213091756543</x:v>
      </x:c>
      <x:c r="J62" s="65" t="n">
        <x:v>0.5538995602869706</x:v>
      </x:c>
      <x:c r="K62" s="65" t="n">
        <x:v>0.5402684563758389</x:v>
      </x:c>
      <x:c r="L62" s="65" t="n">
        <x:v>0.8310810810810811</x:v>
      </x:c>
      <x:c r="M62" s="65" t="n">
        <x:v>0.5470415527393668</x:v>
      </x:c>
      <x:c r="N62" s="63" t="n">
        <x:v>58.25550069684618</x:v>
      </x:c>
      <x:c r="O62" s="59" t="n">
        <x:v>48</x:v>
      </x:c>
      <x:c r="P62" s="63" t="n">
        <x:v>62.256268860100164</x:v>
      </x:c>
      <x:c r="Q62" s="59" t="n">
        <x:v>58</x:v>
      </x:c>
      <x:c r="R62" s="60" t="b">
        <x:v>0</x:v>
      </x:c>
      <x:c r="S62" s="59"/>
      <x:c r="T62" s="63" t="n">
        <x:v>62.256268860100164</x:v>
      </x:c>
    </x:row>
    <x:row r="63" ht="15" hidden="0">
      <x:c r="A63" s="59" t="str">
        <x:v>Peer 138</x:v>
      </x:c>
      <x:c r="B63" s="59" t="str">
        <x:v>Other peer</x:v>
      </x:c>
      <x:c r="C63" s="63" t="n">
        <x:v>10.891835</x:v>
      </x:c>
      <x:c r="D63" s="65" t="n">
        <x:v>0.13030292875351124</x:v>
      </x:c>
      <x:c r="E63" s="65" t="n">
        <x:v>0.03405642850814394</x:v>
      </x:c>
      <x:c r="F63" s="65" t="n">
        <x:v>0.1659578941473131</x:v>
      </x:c>
      <x:c r="G63" s="65" t="n">
        <x:v>0.0007412428359443589</x:v>
      </x:c>
      <x:c r="H63" s="65" t="n">
        <x:v>0.6346431043381455</x:v>
      </x:c>
      <x:c r="I63" s="65" t="n">
        <x:v>0.005809084005405202</x:v>
      </x:c>
      <x:c r="J63" s="65" t="n">
        <x:v>0.28754917843091876</x:v>
      </x:c>
      <x:c r="K63" s="65" t="n">
        <x:v>0.7181208053691275</x:v>
      </x:c>
      <x:c r="L63" s="65" t="n">
        <x:v>0.5</x:v>
      </x:c>
      <x:c r="M63" s="65" t="n">
        <x:v>0.4544172615537864</x:v>
      </x:c>
      <x:c r="N63" s="63" t="n">
        <x:v>45.934634299377144</x:v>
      </x:c>
      <x:c r="O63" s="59" t="n">
        <x:v>95</x:v>
      </x:c>
      <x:c r="P63" s="63" t="n">
        <x:v>61.961291308372644</x:v>
      </x:c>
      <x:c r="Q63" s="59" t="n">
        <x:v>59</x:v>
      </x:c>
      <x:c r="R63" s="60" t="b">
        <x:v>0</x:v>
      </x:c>
      <x:c r="S63" s="59"/>
      <x:c r="T63" s="63" t="n">
        <x:v>61.961291308372644</x:v>
      </x:c>
    </x:row>
    <x:row r="64" ht="15" hidden="0">
      <x:c r="A64" s="59" t="str">
        <x:v>Peer 014</x:v>
      </x:c>
      <x:c r="B64" s="59" t="str">
        <x:v>Other peer</x:v>
      </x:c>
      <x:c r="C64" s="63" t="n">
        <x:v>91.580361</x:v>
      </x:c>
      <x:c r="D64" s="65" t="n">
        <x:v>0.10042396535213483</x:v>
      </x:c>
      <x:c r="E64" s="65" t="n">
        <x:v>0.033911626533116634</x:v>
      </x:c>
      <x:c r="F64" s="65" t="n">
        <x:v>0.21987412781655227</x:v>
      </x:c>
      <x:c r="G64" s="65" t="n">
        <x:v>0.009569241164079534</x:v>
      </x:c>
      <x:c r="H64" s="65" t="n">
        <x:v>0.5080160206451098</x:v>
      </x:c>
      <x:c r="I64" s="65" t="n">
        <x:v>0.008147853081973156</x:v>
      </x:c>
      <x:c r="J64" s="65" t="n">
        <x:v>0.4777829206202268</x:v>
      </x:c>
      <x:c r="K64" s="65" t="n">
        <x:v>0.6241610738255033</x:v>
      </x:c>
      <x:c r="L64" s="65" t="n">
        <x:v>0.8547297297297297</x:v>
      </x:c>
      <x:c r="M64" s="65" t="n">
        <x:v>0.5460892791383164</x:v>
      </x:c>
      <x:c r="N64" s="63" t="n">
        <x:v>58.89819117328915</x:v>
      </x:c>
      <x:c r="O64" s="59" t="n">
        <x:v>46</x:v>
      </x:c>
      <x:c r="P64" s="63" t="n">
        <x:v>61.92362215087807</x:v>
      </x:c>
      <x:c r="Q64" s="59" t="n">
        <x:v>60</x:v>
      </x:c>
      <x:c r="R64" s="60" t="b">
        <x:v>0</x:v>
      </x:c>
      <x:c r="S64" s="59"/>
      <x:c r="T64" s="63" t="n">
        <x:v>61.92362215087807</x:v>
      </x:c>
    </x:row>
    <x:row r="65" ht="15" hidden="0">
      <x:c r="A65" s="59" t="str">
        <x:v>Peer 093</x:v>
      </x:c>
      <x:c r="B65" s="59" t="str">
        <x:v>Other peer</x:v>
      </x:c>
      <x:c r="C65" s="63" t="n">
        <x:v>18.626645</x:v>
      </x:c>
      <x:c r="D65" s="65" t="n">
        <x:v>0.07859848083216274</x:v>
      </x:c>
      <x:c r="E65" s="65" t="n">
        <x:v>0.0257576176493405</x:v>
      </x:c>
      <x:c r="F65" s="65" t="n">
        <x:v>0.3239247862403562</x:v>
      </x:c>
      <x:c r="G65" s="65" t="n">
        <x:v>0.004779286706656849</x:v>
      </x:c>
      <x:c r="H65" s="65" t="n">
        <x:v>0.45395792949995994</x:v>
      </x:c>
      <x:c r="I65" s="65" t="n">
        <x:v>0.014738527388924519</x:v>
      </x:c>
      <x:c r="J65" s="65" t="n">
        <x:v>0.5437861606109697</x:v>
      </x:c>
      <x:c r="K65" s="65" t="n">
        <x:v>0.6208053691275168</x:v>
      </x:c>
      <x:c r="L65" s="65" t="n">
        <x:v>0.9290540540540541</x:v>
      </x:c>
      <x:c r="M65" s="65" t="n">
        <x:v>0.5810209705032412</x:v>
      </x:c>
      <x:c r="N65" s="63" t="n">
        <x:v>65.51990574327264</x:v>
      </x:c>
      <x:c r="O65" s="59" t="n">
        <x:v>25</x:v>
      </x:c>
      <x:c r="P65" s="63" t="n">
        <x:v>61.62625436443601</x:v>
      </x:c>
      <x:c r="Q65" s="59" t="n">
        <x:v>61</x:v>
      </x:c>
      <x:c r="R65" s="60" t="b">
        <x:v>0</x:v>
      </x:c>
      <x:c r="S65" s="59"/>
      <x:c r="T65" s="63" t="n">
        <x:v>61.62625436443601</x:v>
      </x:c>
    </x:row>
    <x:row r="66" ht="15" hidden="0">
      <x:c r="A66" s="59" t="str">
        <x:v>Peer 046</x:v>
      </x:c>
      <x:c r="B66" s="59" t="str">
        <x:v>Other peer</x:v>
      </x:c>
      <x:c r="C66" s="63" t="n">
        <x:v>13.778066</x:v>
      </x:c>
      <x:c r="D66" s="65" t="n">
        <x:v>0.112099695269278</x:v>
      </x:c>
      <x:c r="E66" s="65" t="n">
        <x:v>0.013535281366775278</x:v>
      </x:c>
      <x:c r="F66" s="65" t="n">
        <x:v>0.1590564307066028</x:v>
      </x:c>
      <x:c r="G66" s="65" t="n">
        <x:v>0.009388048172988708</x:v>
      </x:c>
      <x:c r="H66" s="65" t="n">
        <x:v>0.49846195637113694</x:v>
      </x:c>
      <x:c r="I66" s="65" t="n">
        <x:v>0.005704914379449936</x:v>
      </x:c>
      <x:c r="J66" s="65" t="n">
        <x:v>0.35688498032862764</x:v>
      </x:c>
      <x:c r="K66" s="65" t="n">
        <x:v>0.8120805369127517</x:v>
      </x:c>
      <x:c r="L66" s="65" t="n">
        <x:v>0.46621621621621623</x:v>
      </x:c>
      <x:c r="M66" s="65" t="n">
        <x:v>0.5383487219650185</x:v>
      </x:c>
      <x:c r="N66" s="63" t="n">
        <x:v>53.240887865821975</x:v>
      </x:c>
      <x:c r="O66" s="59" t="n">
        <x:v>61</x:v>
      </x:c>
      <x:c r="P66" s="63" t="n">
        <x:v>60.84198053773855</x:v>
      </x:c>
      <x:c r="Q66" s="59" t="n">
        <x:v>62</x:v>
      </x:c>
      <x:c r="R66" s="60" t="b">
        <x:v>0</x:v>
      </x:c>
      <x:c r="S66" s="59"/>
      <x:c r="T66" s="63" t="n">
        <x:v>60.84198053773855</x:v>
      </x:c>
    </x:row>
    <x:row r="67" ht="15" hidden="0">
      <x:c r="A67" s="59" t="str">
        <x:v>Peer 102</x:v>
      </x:c>
      <x:c r="B67" s="59" t="str">
        <x:v>Other peer</x:v>
      </x:c>
      <x:c r="C67" s="63" t="n">
        <x:v>50.933929</x:v>
      </x:c>
      <x:c r="D67" s="65" t="n">
        <x:v>0.16165452305868647</x:v>
      </x:c>
      <x:c r="E67" s="65" t="n">
        <x:v>0.1360068256269804</x:v>
      </x:c>
      <x:c r="F67" s="65" t="n">
        <x:v>0.15300307973492483</x:v>
      </x:c>
      <x:c r="G67" s="65" t="n">
        <x:v>0.02368254855046941</x:v>
      </x:c>
      <x:c r="H67" s="65" t="n">
        <x:v>0.7316865844292662</x:v>
      </x:c>
      <x:c r="I67" s="65" t="n">
        <x:v>0.005049939301217673</x:v>
      </x:c>
      <x:c r="J67" s="65" t="n">
        <x:v>0.3882897477435779</x:v>
      </x:c>
      <x:c r="K67" s="65" t="n">
        <x:v>0.5536912751677853</x:v>
      </x:c>
      <x:c r="L67" s="65" t="n">
        <x:v>0.4695945945945946</x:v>
      </x:c>
      <x:c r="M67" s="65" t="n">
        <x:v>0.4636729942132918</x:v>
      </x:c>
      <x:c r="N67" s="63" t="n">
        <x:v>42.603272105666086</x:v>
      </x:c>
      <x:c r="O67" s="59" t="n">
        <x:v>104</x:v>
      </x:c>
      <x:c r="P67" s="63" t="n">
        <x:v>60.453763336294585</x:v>
      </x:c>
      <x:c r="Q67" s="59" t="n">
        <x:v>63</x:v>
      </x:c>
      <x:c r="R67" s="60" t="b">
        <x:v>0</x:v>
      </x:c>
      <x:c r="S67" s="59"/>
      <x:c r="T67" s="63" t="n">
        <x:v>60.453763336294585</x:v>
      </x:c>
    </x:row>
    <x:row r="68" ht="15" hidden="0">
      <x:c r="A68" s="59" t="str">
        <x:v>Peer 129</x:v>
      </x:c>
      <x:c r="B68" s="59" t="str">
        <x:v>Other peer</x:v>
      </x:c>
      <x:c r="C68" s="63" t="n">
        <x:v>12.148275</x:v>
      </x:c>
      <x:c r="D68" s="65" t="n">
        <x:v>0.13579779845286677</x:v>
      </x:c>
      <x:c r="E68" s="65" t="n">
        <x:v>0.03589225630799434</x:v>
      </x:c>
      <x:c r="F68" s="65" t="n">
        <x:v>0.10637329168132924</x:v>
      </x:c>
      <x:c r="G68" s="65" t="n">
        <x:v>0.022536701927430836</x:v>
      </x:c>
      <x:c r="H68" s="65" t="n">
        <x:v>0.578163237267571</x:v>
      </x:c>
      <x:c r="I68" s="65" t="n">
        <x:v>0.004805808345150291</x:v>
      </x:c>
      <x:c r="J68" s="65" t="n">
        <x:v>0.3007637121036797</x:v>
      </x:c>
      <x:c r="K68" s="65" t="n">
        <x:v>0.6845637583892618</x:v>
      </x:c>
      <x:c r="L68" s="65" t="n">
        <x:v>0.5777027027027027</x:v>
      </x:c>
      <x:c r="M68" s="65" t="n">
        <x:v>0.45375316764161644</x:v>
      </x:c>
      <x:c r="N68" s="63" t="n">
        <x:v>46.27304148029785</x:v>
      </x:c>
      <x:c r="O68" s="59" t="n">
        <x:v>92</x:v>
      </x:c>
      <x:c r="P68" s="63" t="n">
        <x:v>60.384312807100294</x:v>
      </x:c>
      <x:c r="Q68" s="59" t="n">
        <x:v>64</x:v>
      </x:c>
      <x:c r="R68" s="60" t="b">
        <x:v>0</x:v>
      </x:c>
      <x:c r="S68" s="59"/>
      <x:c r="T68" s="63" t="n">
        <x:v>60.384312807100294</x:v>
      </x:c>
    </x:row>
    <x:row r="69" ht="15" hidden="0">
      <x:c r="A69" s="59" t="str">
        <x:v>Peer 043</x:v>
      </x:c>
      <x:c r="B69" s="59" t="str">
        <x:v>Other peer</x:v>
      </x:c>
      <x:c r="C69" s="63" t="n">
        <x:v>109.180139</x:v>
      </x:c>
      <x:c r="D69" s="65" t="n">
        <x:v>0.09099286821754275</x:v>
      </x:c>
      <x:c r="E69" s="65" t="n">
        <x:v>0.05050770268757397</x:v>
      </x:c>
      <x:c r="F69" s="65" t="n">
        <x:v>0.17649636808027877</x:v>
      </x:c>
      <x:c r="G69" s="65" t="n">
        <x:v>0.14964476727530632</x:v>
      </x:c>
      <x:c r="H69" s="65" t="n">
        <x:v>0.3219845710802665</x:v>
      </x:c>
      <x:c r="I69" s="65" t="n">
        <x:v>0.009735242363580218</x:v>
      </x:c>
      <x:c r="J69" s="65" t="n">
        <x:v>0.655774126359639</x:v>
      </x:c>
      <x:c r="K69" s="65" t="n">
        <x:v>0.3087248322147651</x:v>
      </x:c>
      <x:c r="L69" s="65" t="n">
        <x:v>0.8885135135135136</x:v>
      </x:c>
      <x:c r="M69" s="65" t="n">
        <x:v>0.44994861610095405</x:v>
      </x:c>
      <x:c r="N69" s="63" t="n">
        <x:v>55.632590356621556</x:v>
      </x:c>
      <x:c r="O69" s="59" t="n">
        <x:v>53</x:v>
      </x:c>
      <x:c r="P69" s="63" t="n">
        <x:v>59.96178983172968</x:v>
      </x:c>
      <x:c r="Q69" s="59" t="n">
        <x:v>65</x:v>
      </x:c>
      <x:c r="R69" s="60" t="b">
        <x:v>0</x:v>
      </x:c>
      <x:c r="S69" s="59"/>
      <x:c r="T69" s="63" t="n">
        <x:v>59.96178983172968</x:v>
      </x:c>
    </x:row>
    <x:row r="70" ht="15" hidden="0">
      <x:c r="A70" s="59" t="str">
        <x:v>Peer 002</x:v>
      </x:c>
      <x:c r="B70" s="59" t="str">
        <x:v>Other peer</x:v>
      </x:c>
      <x:c r="C70" s="63" t="n">
        <x:v>12.140146</x:v>
      </x:c>
      <x:c r="D70" s="65" t="n">
        <x:v>0.12952834339883557</x:v>
      </x:c>
      <x:c r="E70" s="65" t="n">
        <x:v>0.016900620470297473</x:v>
      </x:c>
      <x:c r="F70" s="65" t="n">
        <x:v>0.21641996727222226</x:v>
      </x:c>
      <x:c r="G70" s="65" t="n">
        <x:v>0.08768687682552483</x:v>
      </x:c>
      <x:c r="H70" s="65" t="n">
        <x:v>0.3481275112357739</x:v>
      </x:c>
      <x:c r="I70" s="65" t="n">
        <x:v>0.003778408480738843</x:v>
      </x:c>
      <x:c r="J70" s="65" t="n">
        <x:v>0.6468410090256885</x:v>
      </x:c>
      <x:c r="K70" s="65" t="n">
        <x:v>0.5771812080536913</x:v>
      </x:c>
      <x:c r="L70" s="65" t="n">
        <x:v>0.3716216216216216</x:v>
      </x:c>
      <x:c r="M70" s="65" t="n">
        <x:v>0.6110192100156226</x:v>
      </x:c>
      <x:c r="N70" s="63" t="n">
        <x:v>53.046485883491776</x:v>
      </x:c>
      <x:c r="O70" s="59" t="n">
        <x:v>64</x:v>
      </x:c>
      <x:c r="P70" s="63" t="n">
        <x:v>59.693396265837826</x:v>
      </x:c>
      <x:c r="Q70" s="59" t="n">
        <x:v>66</x:v>
      </x:c>
      <x:c r="R70" s="60" t="b">
        <x:v>0</x:v>
      </x:c>
      <x:c r="S70" s="59"/>
      <x:c r="T70" s="63" t="n">
        <x:v>59.693396265837826</x:v>
      </x:c>
    </x:row>
    <x:row r="71" ht="15" hidden="0">
      <x:c r="A71" s="59" t="str">
        <x:v>Peer 041</x:v>
      </x:c>
      <x:c r="B71" s="59" t="str">
        <x:v>Other peer</x:v>
      </x:c>
      <x:c r="C71" s="63" t="n">
        <x:v>57.451653</x:v>
      </x:c>
      <x:c r="D71" s="65" t="n">
        <x:v>0.12449488616106485</x:v>
      </x:c>
      <x:c r="E71" s="65" t="n">
        <x:v>0.016467898669512607</x:v>
      </x:c>
      <x:c r="F71" s="65" t="n">
        <x:v>0.08915398831083242</x:v>
      </x:c>
      <x:c r="G71" s="65" t="n">
        <x:v>0.07426517702987108</x:v>
      </x:c>
      <x:c r="H71" s="65" t="n">
        <x:v>0.49624408123771796</x:v>
      </x:c>
      <x:c r="I71" s="65" t="n">
        <x:v>0.006313965956297558</x:v>
      </x:c>
      <x:c r="J71" s="65" t="n">
        <x:v>0.39479287202036567</x:v>
      </x:c>
      <x:c r="K71" s="65" t="n">
        <x:v>0.7550335570469799</x:v>
      </x:c>
      <x:c r="L71" s="65" t="n">
        <x:v>0.5371621621621622</x:v>
      </x:c>
      <x:c r="M71" s="65" t="n">
        <x:v>0.5459687412831707</x:v>
      </x:c>
      <x:c r="N71" s="63" t="n">
        <x:v>52.74175642370036</x:v>
      </x:c>
      <x:c r="O71" s="59" t="n">
        <x:v>66</x:v>
      </x:c>
      <x:c r="P71" s="63" t="n">
        <x:v>59.335803548994484</x:v>
      </x:c>
      <x:c r="Q71" s="59" t="n">
        <x:v>67</x:v>
      </x:c>
      <x:c r="R71" s="60" t="b">
        <x:v>0</x:v>
      </x:c>
      <x:c r="S71" s="59"/>
      <x:c r="T71" s="63" t="n">
        <x:v>59.335803548994484</x:v>
      </x:c>
    </x:row>
    <x:row r="72" ht="15" hidden="0">
      <x:c r="A72" s="59" t="str">
        <x:v>Peer 030</x:v>
      </x:c>
      <x:c r="B72" s="59" t="str">
        <x:v>Other peer</x:v>
      </x:c>
      <x:c r="C72" s="63" t="n">
        <x:v>206.289179</x:v>
      </x:c>
      <x:c r="D72" s="65" t="n">
        <x:v>0.09443545751859335</x:v>
      </x:c>
      <x:c r="E72" s="65" t="n">
        <x:v>0.056535195188304084</x:v>
      </x:c>
      <x:c r="F72" s="65" t="n">
        <x:v>0.24551365343307707</x:v>
      </x:c>
      <x:c r="G72" s="65" t="n">
        <x:v>0.0015050552042647884</x:v>
      </x:c>
      <x:c r="H72" s="65" t="n">
        <x:v>0.5211175743840859</x:v>
      </x:c>
      <x:c r="I72" s="65" t="n">
        <x:v>0.006247422260588087</x:v>
      </x:c>
      <x:c r="J72" s="65" t="n">
        <x:v>0.44218930803054846</x:v>
      </x:c>
      <x:c r="K72" s="65" t="n">
        <x:v>0.5302013422818792</x:v>
      </x:c>
      <x:c r="L72" s="65" t="n">
        <x:v>0.7094594594594594</x:v>
      </x:c>
      <x:c r="M72" s="65" t="n">
        <x:v>0.4841997156757655</x:v>
      </x:c>
      <x:c r="N72" s="63" t="n">
        <x:v>53.14557265364258</x:v>
      </x:c>
      <x:c r="O72" s="59" t="n">
        <x:v>62</x:v>
      </x:c>
      <x:c r="P72" s="63" t="n">
        <x:v>58.90532539928749</x:v>
      </x:c>
      <x:c r="Q72" s="59" t="n">
        <x:v>68</x:v>
      </x:c>
      <x:c r="R72" s="60" t="b">
        <x:v>0</x:v>
      </x:c>
      <x:c r="S72" s="59"/>
      <x:c r="T72" s="63" t="n">
        <x:v>58.90532539928749</x:v>
      </x:c>
    </x:row>
    <x:row r="73" ht="15" hidden="0">
      <x:c r="A73" s="59" t="str">
        <x:v>Peer 112</x:v>
      </x:c>
      <x:c r="B73" s="59" t="str">
        <x:v>Other peer</x:v>
      </x:c>
      <x:c r="C73" s="63" t="n">
        <x:v>209.664</x:v>
      </x:c>
      <x:c r="D73" s="65" t="n">
        <x:v>0.07617425976800977</x:v>
      </x:c>
      <x:c r="E73" s="65" t="n">
        <x:v>0.1275564713064713</x:v>
      </x:c>
      <x:c r="F73" s="65" t="n">
        <x:v>0.23543860653235654</x:v>
      </x:c>
      <x:c r="G73" s="65" t="n">
        <x:v>0.33873896437292594</x:v>
      </x:c>
      <x:c r="H73" s="65" t="n">
        <x:v>0.29792213871479467</x:v>
      </x:c>
      <x:c r="I73" s="65" t="n">
        <x:v>0.000954845068687242</x:v>
      </x:c>
      <x:c r="J73" s="65" t="n">
        <x:v>0.8013654246702152</x:v>
      </x:c>
      <x:c r="K73" s="65" t="n">
        <x:v>0.19798657718120805</x:v>
      </x:c>
      <x:c r="L73" s="65" t="n">
        <x:v>0.13175675675675677</x:v>
      </x:c>
      <x:c r="M73" s="65" t="n">
        <x:v>0.3983209729625357</x:v>
      </x:c>
      <x:c r="N73" s="63" t="n">
        <x:v>46.06965703581485</x:v>
      </x:c>
      <x:c r="O73" s="59" t="n">
        <x:v>93</x:v>
      </x:c>
      <x:c r="P73" s="63" t="n">
        <x:v>58.21603869779034</x:v>
      </x:c>
      <x:c r="Q73" s="59" t="n">
        <x:v>69</x:v>
      </x:c>
      <x:c r="R73" s="60" t="b">
        <x:v>0</x:v>
      </x:c>
      <x:c r="S73" s="59"/>
      <x:c r="T73" s="63" t="n">
        <x:v>58.21603869779034</x:v>
      </x:c>
    </x:row>
    <x:row r="74" ht="15" hidden="0">
      <x:c r="A74" s="59" t="str">
        <x:v>Peer 104</x:v>
      </x:c>
      <x:c r="B74" s="59" t="str">
        <x:v>Other peer</x:v>
      </x:c>
      <x:c r="C74" s="63" t="n">
        <x:v>43.900126</x:v>
      </x:c>
      <x:c r="D74" s="65" t="n">
        <x:v>0.12211504814359758</x:v>
      </x:c>
      <x:c r="E74" s="65" t="n">
        <x:v>0.02701361267163561</x:v>
      </x:c>
      <x:c r="F74" s="65" t="n">
        <x:v>0.18246104806168437</x:v>
      </x:c>
      <x:c r="G74" s="65" t="n">
        <x:v>0.08078414942660384</x:v>
      </x:c>
      <x:c r="H74" s="65" t="n">
        <x:v>0.39942374740389186</x:v>
      </x:c>
      <x:c r="I74" s="65" t="n">
        <x:v>0.0035943857730188836</x:v>
      </x:c>
      <x:c r="J74" s="65" t="n">
        <x:v>0.5761860680398057</x:v>
      </x:c>
      <x:c r="K74" s="65" t="n">
        <x:v>0.5402684563758389</x:v>
      </x:c>
      <x:c r="L74" s="65" t="n">
        <x:v>0.5472972972972973</x:v>
      </x:c>
      <x:c r="M74" s="65" t="n">
        <x:v>0.5579383098202971</x:v>
      </x:c>
      <x:c r="N74" s="63" t="n">
        <x:v>52.210100873716016</x:v>
      </x:c>
      <x:c r="O74" s="59" t="n">
        <x:v>71</x:v>
      </x:c>
      <x:c r="P74" s="63" t="n">
        <x:v>57.38958269909238</x:v>
      </x:c>
      <x:c r="Q74" s="59" t="n">
        <x:v>70</x:v>
      </x:c>
      <x:c r="R74" s="60" t="b">
        <x:v>0</x:v>
      </x:c>
      <x:c r="S74" s="59"/>
      <x:c r="T74" s="63" t="n">
        <x:v>57.38958269909238</x:v>
      </x:c>
    </x:row>
    <x:row r="75" ht="15" hidden="0">
      <x:c r="A75" s="59" t="str">
        <x:v>Peer 007</x:v>
      </x:c>
      <x:c r="B75" s="59" t="str">
        <x:v>Other peer</x:v>
      </x:c>
      <x:c r="C75" s="63" t="n">
        <x:v>154.522864</x:v>
      </x:c>
      <x:c r="D75" s="65" t="n">
        <x:v>0.07050488657782061</x:v>
      </x:c>
      <x:c r="E75" s="65" t="n">
        <x:v>0.30193874092315554</x:v>
      </x:c>
      <x:c r="F75" s="65" t="n">
        <x:v>0.33447604232859673</x:v>
      </x:c>
      <x:c r="G75" s="65" t="n">
        <x:v>0.1965023644245594</x:v>
      </x:c>
      <x:c r="H75" s="65" t="n">
        <x:v>0.29268111005682107</x:v>
      </x:c>
      <x:c r="I75" s="65" t="n">
        <x:v>0.002331201121927113</x:v>
      </x:c>
      <x:c r="J75" s="65" t="n">
        <x:v>0.8676463781532053</x:v>
      </x:c>
      <x:c r="K75" s="65" t="n">
        <x:v>0.1342281879194631</x:v>
      </x:c>
      <x:c r="L75" s="65" t="n">
        <x:v>0.5574324324324325</x:v>
      </x:c>
      <x:c r="M75" s="65" t="n">
        <x:v>0.34126617338140913</x:v>
      </x:c>
      <x:c r="N75" s="63" t="n">
        <x:v>52.36430227628423</x:v>
      </x:c>
      <x:c r="O75" s="59" t="n">
        <x:v>68</x:v>
      </x:c>
      <x:c r="P75" s="63" t="n">
        <x:v>57.08633427593708</x:v>
      </x:c>
      <x:c r="Q75" s="59" t="n">
        <x:v>71</x:v>
      </x:c>
      <x:c r="R75" s="60" t="b">
        <x:v>0</x:v>
      </x:c>
      <x:c r="S75" s="59"/>
      <x:c r="T75" s="63" t="n">
        <x:v>57.08633427593708</x:v>
      </x:c>
    </x:row>
    <x:row r="76" ht="15" hidden="0">
      <x:c r="A76" s="59" t="str">
        <x:v>Peer 101</x:v>
      </x:c>
      <x:c r="B76" s="59" t="str">
        <x:v>Other peer</x:v>
      </x:c>
      <x:c r="C76" s="63" t="n">
        <x:v>201.363</x:v>
      </x:c>
      <x:c r="D76" s="65" t="n">
        <x:v>0.09920889140507441</x:v>
      </x:c>
      <x:c r="E76" s="65" t="n">
        <x:v>0.14132189131071746</x:v>
      </x:c>
      <x:c r="F76" s="65" t="n">
        <x:v>0.3669591732344075</x:v>
      </x:c>
      <x:c r="G76" s="65" t="n">
        <x:v>0.18090804425088852</x:v>
      </x:c>
      <x:c r="H76" s="65" t="n">
        <x:v>0.3045005525609509</x:v>
      </x:c>
      <x:c r="I76" s="65" t="n">
        <x:v>0.0042685908364059255</x:v>
      </x:c>
      <x:c r="J76" s="65" t="n">
        <x:v>0.8910437398750289</x:v>
      </x:c>
      <x:c r="K76" s="65" t="n">
        <x:v>0.1912751677852349</x:v>
      </x:c>
      <x:c r="L76" s="65" t="n">
        <x:v>0.3141891891891892</x:v>
      </x:c>
      <x:c r="M76" s="65" t="n">
        <x:v>0.41283718443059286</x:v>
      </x:c>
      <x:c r="N76" s="63" t="n">
        <x:v>48.40944559272533</x:v>
      </x:c>
      <x:c r="O76" s="59" t="n">
        <x:v>84</x:v>
      </x:c>
      <x:c r="P76" s="63" t="n">
        <x:v>56.9752249273141</x:v>
      </x:c>
      <x:c r="Q76" s="59" t="n">
        <x:v>72</x:v>
      </x:c>
      <x:c r="R76" s="60" t="b">
        <x:v>0</x:v>
      </x:c>
      <x:c r="S76" s="59"/>
      <x:c r="T76" s="63" t="n">
        <x:v>56.9752249273141</x:v>
      </x:c>
    </x:row>
    <x:row r="77" ht="15" hidden="0">
      <x:c r="A77" s="59" t="str">
        <x:v>Peer 045</x:v>
      </x:c>
      <x:c r="B77" s="59" t="str">
        <x:v>Other peer</x:v>
      </x:c>
      <x:c r="C77" s="63" t="n">
        <x:v>48.668073</x:v>
      </x:c>
      <x:c r="D77" s="65" t="n">
        <x:v>0.08858731678157876</x:v>
      </x:c>
      <x:c r="E77" s="65" t="n">
        <x:v>0.04108052521413782</x:v>
      </x:c>
      <x:c r="F77" s="65" t="n">
        <x:v>0.2458644499855172</x:v>
      </x:c>
      <x:c r="G77" s="65" t="n">
        <x:v>0.005022296836229007</x:v>
      </x:c>
      <x:c r="H77" s="65" t="n">
        <x:v>0.47421132549414696</x:v>
      </x:c>
      <x:c r="I77" s="65" t="n">
        <x:v>0.005644754224699434</x:v>
      </x:c>
      <x:c r="J77" s="65" t="n">
        <x:v>0.48347604721129367</x:v>
      </x:c>
      <x:c r="K77" s="65" t="n">
        <x:v>0.5402684563758389</x:v>
      </x:c>
      <x:c r="L77" s="65" t="n">
        <x:v>0.597972972972973</x:v>
      </x:c>
      <x:c r="M77" s="65" t="n">
        <x:v>0.5110840026077297</x:v>
      </x:c>
      <x:c r="N77" s="63" t="n">
        <x:v>54.38267249994521</x:v>
      </x:c>
      <x:c r="O77" s="59" t="n">
        <x:v>60</x:v>
      </x:c>
      <x:c r="P77" s="63" t="n">
        <x:v>56.615155192418676</x:v>
      </x:c>
      <x:c r="Q77" s="59" t="n">
        <x:v>73</x:v>
      </x:c>
      <x:c r="R77" s="60" t="b">
        <x:v>0</x:v>
      </x:c>
      <x:c r="S77" s="59"/>
      <x:c r="T77" s="63" t="n">
        <x:v>56.615155192418676</x:v>
      </x:c>
    </x:row>
    <x:row r="78" ht="15" hidden="0">
      <x:c r="A78" s="59" t="str">
        <x:v>Peer 086</x:v>
      </x:c>
      <x:c r="B78" s="59" t="str">
        <x:v>Other peer</x:v>
      </x:c>
      <x:c r="C78" s="63" t="n">
        <x:v>14.213677</x:v>
      </x:c>
      <x:c r="D78" s="65" t="n">
        <x:v>0.10898355154686575</x:v>
      </x:c>
      <x:c r="E78" s="65" t="n">
        <x:v>0.017320078400543365</x:v>
      </x:c>
      <x:c r="F78" s="65" t="n">
        <x:v>0.1476997823997267</x:v>
      </x:c>
      <x:c r="G78" s="65" t="n">
        <x:v>0.0838348750239662</x:v>
      </x:c>
      <x:c r="H78" s="65" t="n">
        <x:v>0.24368721167410118</x:v>
      </x:c>
      <x:c r="I78" s="65" t="n">
        <x:v>0.0075052929801616005</x:v>
      </x:c>
      <x:c r="J78" s="65" t="n">
        <x:v>0.4990974311501967</x:v>
      </x:c>
      <x:c r="K78" s="65" t="n">
        <x:v>0.49328859060402686</x:v>
      </x:c>
      <x:c r="L78" s="65" t="n">
        <x:v>0.8108108108108107</x:v>
      </x:c>
      <x:c r="M78" s="65" t="n">
        <x:v>0.49618451042547757</x:v>
      </x:c>
      <x:c r="N78" s="63" t="n">
        <x:v>53.10064840220551</x:v>
      </x:c>
      <x:c r="O78" s="59" t="n">
        <x:v>63</x:v>
      </x:c>
      <x:c r="P78" s="63" t="n">
        <x:v>56.14124808112413</x:v>
      </x:c>
      <x:c r="Q78" s="59" t="n">
        <x:v>74</x:v>
      </x:c>
      <x:c r="R78" s="60" t="b">
        <x:v>0</x:v>
      </x:c>
      <x:c r="S78" s="59"/>
      <x:c r="T78" s="63" t="n">
        <x:v>56.14124808112413</x:v>
      </x:c>
    </x:row>
    <x:row r="79" ht="15" hidden="0">
      <x:c r="A79" s="59" t="str">
        <x:v>Stressed Peer A</x:v>
      </x:c>
      <x:c r="B79" s="59" t="str">
        <x:v>Stressed survivor in 2023</x:v>
      </x:c>
      <x:c r="C79" s="63" t="n">
        <x:v>41.183756</x:v>
      </x:c>
      <x:c r="D79" s="65" t="n">
        <x:v>0.09679624655895883</x:v>
      </x:c>
      <x:c r="E79" s="65" t="n">
        <x:v>0.054290482878735</x:v>
      </x:c>
      <x:c r="F79" s="65" t="n">
        <x:v>0.17270454885173658</x:v>
      </x:c>
      <x:c r="G79" s="65" t="n">
        <x:v>0.039424467939132554</x:v>
      </x:c>
      <x:c r="H79" s="65" t="n">
        <x:v>0.5022117682937518</x:v>
      </x:c>
      <x:c r="I79" s="65" t="n">
        <x:v>0.0037734635684701368</x:v>
      </x:c>
      <x:c r="J79" s="65" t="n">
        <x:v>0.4629483915760241</x:v>
      </x:c>
      <x:c r="K79" s="65" t="n">
        <x:v>0.5100671140939598</x:v>
      </x:c>
      <x:c r="L79" s="65" t="n">
        <x:v>0.5810810810810811</x:v>
      </x:c>
      <x:c r="M79" s="65" t="n">
        <x:v>0.48593698157849957</x:v>
      </x:c>
      <x:c r="N79" s="63" t="n">
        <x:v>50.85090852378632</x:v>
      </x:c>
      <x:c r="O79" s="59" t="n">
        <x:v>76</x:v>
      </x:c>
      <x:c r="P79" s="63" t="n">
        <x:v>55.885890003418346</x:v>
      </x:c>
      <x:c r="Q79" s="59" t="n">
        <x:v>75</x:v>
      </x:c>
      <x:c r="R79" s="60" t="b">
        <x:v>0</x:v>
      </x:c>
      <x:c r="S79" s="59"/>
      <x:c r="T79" s="63" t="n">
        <x:v>55.885890003418346</x:v>
      </x:c>
    </x:row>
    <x:row r="80" ht="15" hidden="0">
      <x:c r="A80" s="59" t="str">
        <x:v>Peer 013</x:v>
      </x:c>
      <x:c r="B80" s="59" t="str">
        <x:v>Other peer</x:v>
      </x:c>
      <x:c r="C80" s="63" t="n">
        <x:v>18.252788</x:v>
      </x:c>
      <x:c r="D80" s="65" t="n">
        <x:v>0.14794967212680057</x:v>
      </x:c>
      <x:c r="E80" s="65" t="n">
        <x:v>0.035851071080209775</x:v>
      </x:c>
      <x:c r="F80" s="65" t="n">
        <x:v>0.10403029937125222</x:v>
      </x:c>
      <x:c r="G80" s="65" t="n">
        <x:v>0.016596963370405563</x:v>
      </x:c>
      <x:c r="H80" s="65" t="n">
        <x:v>0.5353458818489868</x:v>
      </x:c>
      <x:c r="I80" s="65" t="n">
        <x:v>0.0027695500066699363</x:v>
      </x:c>
      <x:c r="J80" s="65" t="n">
        <x:v>0.2836149039574173</x:v>
      </x:c>
      <x:c r="K80" s="65" t="n">
        <x:v>0.651006711409396</x:v>
      </x:c>
      <x:c r="L80" s="65" t="n">
        <x:v>0.25</x:v>
      </x:c>
      <x:c r="M80" s="65" t="n">
        <x:v>0.4296919896065203</x:v>
      </x:c>
      <x:c r="N80" s="63" t="n">
        <x:v>38.92368347751599</x:v>
      </x:c>
      <x:c r="O80" s="59" t="n">
        <x:v>114</x:v>
      </x:c>
      <x:c r="P80" s="63" t="n">
        <x:v>54.677790266557615</x:v>
      </x:c>
      <x:c r="Q80" s="59" t="n">
        <x:v>76</x:v>
      </x:c>
      <x:c r="R80" s="60" t="b">
        <x:v>0</x:v>
      </x:c>
      <x:c r="S80" s="59"/>
      <x:c r="T80" s="63" t="n">
        <x:v>54.677790266557615</x:v>
      </x:c>
    </x:row>
    <x:row r="81" ht="15" hidden="0">
      <x:c r="A81" s="59" t="str">
        <x:v>Peer 035</x:v>
      </x:c>
      <x:c r="B81" s="59" t="str">
        <x:v>Other peer</x:v>
      </x:c>
      <x:c r="C81" s="63" t="n">
        <x:v>43.726588</x:v>
      </x:c>
      <x:c r="D81" s="65" t="n">
        <x:v>0.12993456063848385</x:v>
      </x:c>
      <x:c r="E81" s="65" t="n">
        <x:v>0.038508424210917165</x:v>
      </x:c>
      <x:c r="F81" s="65" t="n">
        <x:v>0.16836387966058544</x:v>
      </x:c>
      <x:c r="G81" s="65" t="n">
        <x:v>0.07036862007939672</x:v>
      </x:c>
      <x:c r="H81" s="65" t="n">
        <x:v>0.45493505075163454</x:v>
      </x:c>
      <x:c r="I81" s="65" t="n">
        <x:v>0.004094030669666728</x:v>
      </x:c>
      <x:c r="J81" s="65" t="n">
        <x:v>0.5252950705855126</x:v>
      </x:c>
      <x:c r="K81" s="65" t="n">
        <x:v>0.5369127516778524</x:v>
      </x:c>
      <x:c r="L81" s="65" t="n">
        <x:v>0.5777027027027026</x:v>
      </x:c>
      <x:c r="M81" s="65" t="n">
        <x:v>0.5310721436781252</x:v>
      </x:c>
      <x:c r="N81" s="63" t="n">
        <x:v>50.01509874292371</x:v>
      </x:c>
      <x:c r="O81" s="59" t="n">
        <x:v>78</x:v>
      </x:c>
      <x:c r="P81" s="63" t="n">
        <x:v>54.60530468608087</x:v>
      </x:c>
      <x:c r="Q81" s="59" t="n">
        <x:v>77</x:v>
      </x:c>
      <x:c r="R81" s="60" t="b">
        <x:v>0</x:v>
      </x:c>
      <x:c r="S81" s="59"/>
      <x:c r="T81" s="63" t="n">
        <x:v>54.60530468608087</x:v>
      </x:c>
    </x:row>
    <x:row r="82" ht="15" hidden="0">
      <x:c r="A82" s="59" t="str">
        <x:v>Peer 023</x:v>
      </x:c>
      <x:c r="B82" s="59" t="str">
        <x:v>Other peer</x:v>
      </x:c>
      <x:c r="C82" s="63" t="n">
        <x:v>18.013146</x:v>
      </x:c>
      <x:c r="D82" s="65" t="n">
        <x:v>0.08884139394639892</x:v>
      </x:c>
      <x:c r="E82" s="65" t="n">
        <x:v>0.04079170845559127</x:v>
      </x:c>
      <x:c r="F82" s="65" t="n">
        <x:v>0.19533489596986556</x:v>
      </x:c>
      <x:c r="G82" s="65" t="n">
        <x:v>0.05494237689751942</x:v>
      </x:c>
      <x:c r="H82" s="65" t="n">
        <x:v>0.401761793220495</x:v>
      </x:c>
      <x:c r="I82" s="65" t="n">
        <x:v>0.009661839663869768</x:v>
      </x:c>
      <x:c r="J82" s="65" t="n">
        <x:v>0.5613746817866234</x:v>
      </x:c>
      <x:c r="K82" s="65" t="n">
        <x:v>0.4563758389261745</x:v>
      </x:c>
      <x:c r="L82" s="65" t="n">
        <x:v>0.7804054054054054</x:v>
      </x:c>
      <x:c r="M82" s="65" t="n">
        <x:v>0.5061598970209755</x:v>
      </x:c>
      <x:c r="N82" s="63" t="n">
        <x:v>56.727546881917576</x:v>
      </x:c>
      <x:c r="O82" s="59" t="n">
        <x:v>51</x:v>
      </x:c>
      <x:c r="P82" s="63" t="n">
        <x:v>54.47593082257267</x:v>
      </x:c>
      <x:c r="Q82" s="59" t="n">
        <x:v>78</x:v>
      </x:c>
      <x:c r="R82" s="60" t="b">
        <x:v>0</x:v>
      </x:c>
      <x:c r="S82" s="59"/>
      <x:c r="T82" s="63" t="n">
        <x:v>54.47593082257267</x:v>
      </x:c>
    </x:row>
    <x:row r="83" ht="15" hidden="0">
      <x:c r="A83" s="59" t="str">
        <x:v>Peer 133</x:v>
      </x:c>
      <x:c r="B83" s="59" t="str">
        <x:v>Other peer</x:v>
      </x:c>
      <x:c r="C83" s="63" t="n">
        <x:v>226.401591</x:v>
      </x:c>
      <x:c r="D83" s="65" t="n">
        <x:v>0.10456588178304807</x:v>
      </x:c>
      <x:c r="E83" s="65" t="n">
        <x:v>0.04831825585536632</x:v>
      </x:c>
      <x:c r="F83" s="65" t="n">
        <x:v>0.14995798328996726</x:v>
      </x:c>
      <x:c r="G83" s="65" t="n">
        <x:v>0.03810101782208765</x:v>
      </x:c>
      <x:c r="H83" s="65" t="n">
        <x:v>0.48985271703069466</x:v>
      </x:c>
      <x:c r="I83" s="65" t="n">
        <x:v>0.009629472189308068</x:v>
      </x:c>
      <x:c r="J83" s="65" t="n">
        <x:v>0.4023605646841009</x:v>
      </x:c>
      <x:c r="K83" s="65" t="n">
        <x:v>0.5134228187919463</x:v>
      </x:c>
      <x:c r="L83" s="65" t="n">
        <x:v>0.8344594594594594</x:v>
      </x:c>
      <x:c r="M83" s="65" t="n">
        <x:v>0.4545119308564191</x:v>
      </x:c>
      <x:c r="N83" s="63" t="n">
        <x:v>51.01496891074373</x:v>
      </x:c>
      <x:c r="O83" s="59" t="n">
        <x:v>75</x:v>
      </x:c>
      <x:c r="P83" s="63" t="n">
        <x:v>53.968506754508994</x:v>
      </x:c>
      <x:c r="Q83" s="59" t="n">
        <x:v>79</x:v>
      </x:c>
      <x:c r="R83" s="60" t="b">
        <x:v>0</x:v>
      </x:c>
      <x:c r="S83" s="59"/>
      <x:c r="T83" s="63" t="n">
        <x:v>53.968506754508994</x:v>
      </x:c>
    </x:row>
    <x:row r="84" ht="15" hidden="0">
      <x:c r="A84" s="59" t="str">
        <x:v>Peer 006</x:v>
      </x:c>
      <x:c r="B84" s="59" t="str">
        <x:v>Other peer</x:v>
      </x:c>
      <x:c r="C84" s="63" t="n">
        <x:v>59.629623</x:v>
      </x:c>
      <x:c r="D84" s="65" t="n">
        <x:v>0.07498298287077884</x:v>
      </x:c>
      <x:c r="E84" s="65" t="n">
        <x:v>0.03190882156004911</x:v>
      </x:c>
      <x:c r="F84" s="65" t="n">
        <x:v>0.16255038204752695</x:v>
      </x:c>
      <x:c r="G84" s="65" t="n">
        <x:v>0.0032910576495340073</x:v>
      </x:c>
      <x:c r="H84" s="65" t="n">
        <x:v>0.4850818956971502</x:v>
      </x:c>
      <x:c r="I84" s="65" t="n">
        <x:v>0.002979832050323009</x:v>
      </x:c>
      <x:c r="J84" s="65" t="n">
        <x:v>0.3153205276556353</x:v>
      </x:c>
      <x:c r="K84" s="65" t="n">
        <x:v>0.5973154362416107</x:v>
      </x:c>
      <x:c r="L84" s="65" t="n">
        <x:v>0.3716216216216216</x:v>
      </x:c>
      <x:c r="M84" s="65" t="n">
        <x:v>0.4339882700402865</x:v>
      </x:c>
      <x:c r="N84" s="63" t="n">
        <x:v>47.8080548780529</x:v>
      </x:c>
      <x:c r="O84" s="59" t="n">
        <x:v>87</x:v>
      </x:c>
      <x:c r="P84" s="63" t="n">
        <x:v>53.90318246517396</x:v>
      </x:c>
      <x:c r="Q84" s="59" t="n">
        <x:v>80</x:v>
      </x:c>
      <x:c r="R84" s="60" t="b">
        <x:v>0</x:v>
      </x:c>
      <x:c r="S84" s="59"/>
      <x:c r="T84" s="63" t="n">
        <x:v>53.90318246517396</x:v>
      </x:c>
    </x:row>
    <x:row r="85" ht="15" hidden="0">
      <x:c r="A85" s="59" t="str">
        <x:v>Peer 005</x:v>
      </x:c>
      <x:c r="B85" s="59" t="str">
        <x:v>Other peer</x:v>
      </x:c>
      <x:c r="C85" s="63" t="n">
        <x:v>16.894686</x:v>
      </x:c>
      <x:c r="D85" s="65" t="n">
        <x:v>0.14254547258232558</x:v>
      </x:c>
      <x:c r="E85" s="65" t="n">
        <x:v>0.02387514038437885</x:v>
      </x:c>
      <x:c r="F85" s="65" t="n">
        <x:v>0.2235862803250679</x:v>
      </x:c>
      <x:c r="G85" s="65" t="n">
        <x:v>0.06916152360562249</x:v>
      </x:c>
      <x:c r="H85" s="65" t="n">
        <x:v>0.3275662197123769</x:v>
      </x:c>
      <x:c r="I85" s="65" t="n">
        <x:v>0.004077530954580722</x:v>
      </x:c>
      <x:c r="J85" s="65" t="n">
        <x:v>0.6257810691969452</x:v>
      </x:c>
      <x:c r="K85" s="65" t="n">
        <x:v>0.47986577181208057</x:v>
      </x:c>
      <x:c r="L85" s="65" t="n">
        <x:v>0.46283783783783783</x:v>
      </x:c>
      <x:c r="M85" s="65" t="n">
        <x:v>0.5479880616907462</x:v>
      </x:c>
      <x:c r="N85" s="63" t="n">
        <x:v>49.29731096457884</x:v>
      </x:c>
      <x:c r="O85" s="59" t="n">
        <x:v>80</x:v>
      </x:c>
      <x:c r="P85" s="63" t="n">
        <x:v>53.76075903212237</x:v>
      </x:c>
      <x:c r="Q85" s="59" t="n">
        <x:v>81</x:v>
      </x:c>
      <x:c r="R85" s="60" t="b">
        <x:v>0</x:v>
      </x:c>
      <x:c r="S85" s="59"/>
      <x:c r="T85" s="63" t="n">
        <x:v>53.76075903212237</x:v>
      </x:c>
    </x:row>
    <x:row r="86" ht="15" hidden="0">
      <x:c r="A86" s="59" t="str">
        <x:v>Peer 123</x:v>
      </x:c>
      <x:c r="B86" s="59" t="str">
        <x:v>Other peer</x:v>
      </x:c>
      <x:c r="C86" s="63" t="n">
        <x:v>41.842515</x:v>
      </x:c>
      <x:c r="D86" s="65" t="n">
        <x:v>0.1344767158475058</x:v>
      </x:c>
      <x:c r="E86" s="65" t="n">
        <x:v>0.028132701870334516</x:v>
      </x:c>
      <x:c r="F86" s="65" t="n">
        <x:v>0.15902622010173145</x:v>
      </x:c>
      <x:c r="G86" s="65" t="n">
        <x:v>0.06329178487976564</x:v>
      </x:c>
      <x:c r="H86" s="65" t="n">
        <x:v>0.4451642958976223</x:v>
      </x:c>
      <x:c r="I86" s="65" t="n">
        <x:v>0.0014609893476827899</x:v>
      </x:c>
      <x:c r="J86" s="65" t="n">
        <x:v>0.4914603101133997</x:v>
      </x:c>
      <x:c r="K86" s="65" t="n">
        <x:v>0.587248322147651</x:v>
      </x:c>
      <x:c r="L86" s="65" t="n">
        <x:v>0.23986486486486486</x:v>
      </x:c>
      <x:c r="M86" s="65" t="n">
        <x:v>0.5372236429237438</x:v>
      </x:c>
      <x:c r="N86" s="63" t="n">
        <x:v>45.327931412246855</x:v>
      </x:c>
      <x:c r="O86" s="59" t="n">
        <x:v>97</x:v>
      </x:c>
      <x:c r="P86" s="63" t="n">
        <x:v>53.06587540543285</x:v>
      </x:c>
      <x:c r="Q86" s="59" t="n">
        <x:v>82</x:v>
      </x:c>
      <x:c r="R86" s="60" t="b">
        <x:v>0</x:v>
      </x:c>
      <x:c r="S86" s="59"/>
      <x:c r="T86" s="63" t="n">
        <x:v>53.06587540543285</x:v>
      </x:c>
    </x:row>
    <x:row r="87" ht="15" hidden="0">
      <x:c r="A87" s="59" t="str">
        <x:v>Peer 075</x:v>
      </x:c>
      <x:c r="B87" s="59" t="str">
        <x:v>Other peer</x:v>
      </x:c>
      <x:c r="C87" s="63" t="n">
        <x:v>11.65686</x:v>
      </x:c>
      <x:c r="D87" s="65" t="n">
        <x:v>0.08396909630895455</x:v>
      </x:c>
      <x:c r="E87" s="65" t="n">
        <x:v>0.058560710174094914</x:v>
      </x:c>
      <x:c r="F87" s="65" t="n">
        <x:v>0.17323859083835613</x:v>
      </x:c>
      <x:c r="G87" s="65" t="n">
        <x:v>0.09121939159147378</x:v>
      </x:c>
      <x:c r="H87" s="65" t="n">
        <x:v>0.3682658810782305</x:v>
      </x:c>
      <x:c r="I87" s="65" t="n">
        <x:v>0.004574788230784109</x:v>
      </x:c>
      <x:c r="J87" s="65" t="n">
        <x:v>0.5697523721360795</x:v>
      </x:c>
      <x:c r="K87" s="65" t="n">
        <x:v>0.3422818791946309</x:v>
      </x:c>
      <x:c r="L87" s="65" t="n">
        <x:v>0.5</x:v>
      </x:c>
      <x:c r="M87" s="65" t="n">
        <x:v>0.4416060604320733</x:v>
      </x:c>
      <x:c r="N87" s="63" t="n">
        <x:v>48.864428791230004</x:v>
      </x:c>
      <x:c r="O87" s="59" t="n">
        <x:v>81</x:v>
      </x:c>
      <x:c r="P87" s="63" t="n">
        <x:v>53.02166066710014</x:v>
      </x:c>
      <x:c r="Q87" s="59" t="n">
        <x:v>83</x:v>
      </x:c>
      <x:c r="R87" s="60" t="b">
        <x:v>0</x:v>
      </x:c>
      <x:c r="S87" s="59"/>
      <x:c r="T87" s="63" t="n">
        <x:v>53.02166066710014</x:v>
      </x:c>
    </x:row>
    <x:row r="88" ht="15" hidden="0">
      <x:c r="A88" s="59" t="str">
        <x:v>Peer 022</x:v>
      </x:c>
      <x:c r="B88" s="59" t="str">
        <x:v>Other peer</x:v>
      </x:c>
      <x:c r="C88" s="63" t="n">
        <x:v>78.672073</x:v>
      </x:c>
      <x:c r="D88" s="65" t="n">
        <x:v>0.10367157860451955</x:v>
      </x:c>
      <x:c r="E88" s="65" t="n">
        <x:v>0.03108214779086856</x:v>
      </x:c>
      <x:c r="F88" s="65" t="n">
        <x:v>0.13004802860603407</x:v>
      </x:c>
      <x:c r="G88" s="65" t="n">
        <x:v>0.02281101973526917</x:v>
      </x:c>
      <x:c r="H88" s="65" t="n">
        <x:v>0.46737883907438676</x:v>
      </x:c>
      <x:c r="I88" s="65" t="n">
        <x:v>0.006210223567878083</x:v>
      </x:c>
      <x:c r="J88" s="65" t="n">
        <x:v>0.3545475584355473</x:v>
      </x:c>
      <x:c r="K88" s="65" t="n">
        <x:v>0.5906040268456376</x:v>
      </x:c>
      <x:c r="L88" s="65" t="n">
        <x:v>0.6081081081081081</x:v>
      </x:c>
      <x:c r="M88" s="65" t="n">
        <x:v>0.4575994052884283</x:v>
      </x:c>
      <x:c r="N88" s="63" t="n">
        <x:v>48.68498784559049</x:v>
      </x:c>
      <x:c r="O88" s="59" t="n">
        <x:v>82</x:v>
      </x:c>
      <x:c r="P88" s="63" t="n">
        <x:v>52.97174641997261</x:v>
      </x:c>
      <x:c r="Q88" s="59" t="n">
        <x:v>84</x:v>
      </x:c>
      <x:c r="R88" s="60" t="b">
        <x:v>0</x:v>
      </x:c>
      <x:c r="S88" s="59"/>
      <x:c r="T88" s="63" t="n">
        <x:v>52.97174641997261</x:v>
      </x:c>
    </x:row>
    <x:row r="89" ht="15" hidden="0">
      <x:c r="A89" s="59" t="str">
        <x:v>Peer 091</x:v>
      </x:c>
      <x:c r="B89" s="59" t="str">
        <x:v>Other peer</x:v>
      </x:c>
      <x:c r="C89" s="63" t="n">
        <x:v>99.105686</x:v>
      </x:c>
      <x:c r="D89" s="65" t="n">
        <x:v>0.11287364480782666</x:v>
      </x:c>
      <x:c r="E89" s="65" t="n">
        <x:v>0.09538156065031425</x:v>
      </x:c>
      <x:c r="F89" s="65" t="n">
        <x:v>0.1584110017663366</x:v>
      </x:c>
      <x:c r="G89" s="65" t="n">
        <x:v>0.1091362562821707</x:v>
      </x:c>
      <x:c r="H89" s="65" t="n">
        <x:v>0.36670982469216357</x:v>
      </x:c>
      <x:c r="I89" s="65" t="n">
        <x:v>0.00695815837465084</x:v>
      </x:c>
      <x:c r="J89" s="65" t="n">
        <x:v>0.5708632261050682</x:v>
      </x:c>
      <x:c r="K89" s="65" t="n">
        <x:v>0.29194630872483224</x:v>
      </x:c>
      <x:c r="L89" s="65" t="n">
        <x:v>0.7804054054054055</x:v>
      </x:c>
      <x:c r="M89" s="65" t="n">
        <x:v>0.40824185435612054</x:v>
      </x:c>
      <x:c r="N89" s="63" t="n">
        <x:v>46.748477699940594</x:v>
      </x:c>
      <x:c r="O89" s="59" t="n">
        <x:v>88</x:v>
      </x:c>
      <x:c r="P89" s="63" t="n">
        <x:v>52.8250219479842</x:v>
      </x:c>
      <x:c r="Q89" s="59" t="n">
        <x:v>85</x:v>
      </x:c>
      <x:c r="R89" s="60" t="b">
        <x:v>0</x:v>
      </x:c>
      <x:c r="S89" s="59"/>
      <x:c r="T89" s="63" t="n">
        <x:v>52.8250219479842</x:v>
      </x:c>
    </x:row>
    <x:row r="90" ht="15" hidden="0">
      <x:c r="A90" s="59" t="str">
        <x:v>Peer 113</x:v>
      </x:c>
      <x:c r="B90" s="59" t="str">
        <x:v>Other peer</x:v>
      </x:c>
      <x:c r="C90" s="63" t="n">
        <x:v>28.398434</x:v>
      </x:c>
      <x:c r="D90" s="65" t="n">
        <x:v>0.11199068230311574</x:v>
      </x:c>
      <x:c r="E90" s="65" t="n">
        <x:v>0.17649716178011787</x:v>
      </x:c>
      <x:c r="F90" s="65" t="n">
        <x:v>0.12624336961678942</x:v>
      </x:c>
      <x:c r="G90" s="65" t="n">
        <x:v>0.047968154548541676</x:v>
      </x:c>
      <x:c r="H90" s="65" t="n">
        <x:v>0.5366529106630238</x:v>
      </x:c>
      <x:c r="I90" s="65" t="n">
        <x:v>0.0025082674397140466</x:v>
      </x:c>
      <x:c r="J90" s="65" t="n">
        <x:v>0.40310113399675995</x:v>
      </x:c>
      <x:c r="K90" s="65" t="n">
        <x:v>0.4496644295302013</x:v>
      </x:c>
      <x:c r="L90" s="65" t="n">
        <x:v>0.23310810810810811</x:v>
      </x:c>
      <x:c r="M90" s="65" t="n">
        <x:v>0.42574668696494905</x:v>
      </x:c>
      <x:c r="N90" s="63" t="n">
        <x:v>38.638202625008134</x:v>
      </x:c>
      <x:c r="O90" s="59" t="n">
        <x:v>115</x:v>
      </x:c>
      <x:c r="P90" s="63" t="n">
        <x:v>52.71588275010104</x:v>
      </x:c>
      <x:c r="Q90" s="59" t="n">
        <x:v>86</x:v>
      </x:c>
      <x:c r="R90" s="60" t="b">
        <x:v>0</x:v>
      </x:c>
      <x:c r="S90" s="59"/>
      <x:c r="T90" s="63" t="n">
        <x:v>52.71588275010104</x:v>
      </x:c>
    </x:row>
    <x:row r="91" ht="15" hidden="0">
      <x:c r="A91" s="59" t="str">
        <x:v>Peer 042</x:v>
      </x:c>
      <x:c r="B91" s="59" t="str">
        <x:v>Other peer</x:v>
      </x:c>
      <x:c r="C91" s="63" t="n">
        <x:v>19.296982</x:v>
      </x:c>
      <x:c r="D91" s="65" t="n">
        <x:v>0.14761443006994565</x:v>
      </x:c>
      <x:c r="E91" s="65" t="n">
        <x:v>0.018337323421869802</x:v>
      </x:c>
      <x:c r="F91" s="65" t="n">
        <x:v>0.1619627877561372</x:v>
      </x:c>
      <x:c r="G91" s="65" t="n">
        <x:v>0.07074884334387802</x:v>
      </x:c>
      <x:c r="H91" s="65" t="n">
        <x:v>0.3372214381969749</x:v>
      </x:c>
      <x:c r="I91" s="65" t="n">
        <x:v>0.003939352307056007</x:v>
      </x:c>
      <x:c r="J91" s="65" t="n">
        <x:v>0.5119648229576487</x:v>
      </x:c>
      <x:c r="K91" s="65" t="n">
        <x:v>0.5268456375838926</x:v>
      </x:c>
      <x:c r="L91" s="65" t="n">
        <x:v>0.34797297297297297</x:v>
      </x:c>
      <x:c r="M91" s="65" t="n">
        <x:v>0.5193519361393073</x:v>
      </x:c>
      <x:c r="N91" s="63" t="n">
        <x:v>44.932808142585614</x:v>
      </x:c>
      <x:c r="O91" s="59" t="n">
        <x:v>98</x:v>
      </x:c>
      <x:c r="P91" s="63" t="n">
        <x:v>52.59820652678546</x:v>
      </x:c>
      <x:c r="Q91" s="59" t="n">
        <x:v>87</x:v>
      </x:c>
      <x:c r="R91" s="60" t="b">
        <x:v>0</x:v>
      </x:c>
      <x:c r="S91" s="59"/>
      <x:c r="T91" s="63" t="n">
        <x:v>52.59820652678546</x:v>
      </x:c>
    </x:row>
    <x:row r="92" ht="15" hidden="0">
      <x:c r="A92" s="59" t="str">
        <x:v>Peer 021</x:v>
      </x:c>
      <x:c r="B92" s="59" t="str">
        <x:v>Other peer</x:v>
      </x:c>
      <x:c r="C92" s="63" t="n">
        <x:v>13.827883</x:v>
      </x:c>
      <x:c r="D92" s="65" t="n">
        <x:v>0.12785268721177348</x:v>
      </x:c>
      <x:c r="E92" s="65" t="n">
        <x:v>0.013887809146201194</x:v>
      </x:c>
      <x:c r="F92" s="65" t="n">
        <x:v>0.106595492599988</x:v>
      </x:c>
      <x:c r="G92" s="65" t="n">
        <x:v>0.022245765108612776</x:v>
      </x:c>
      <x:c r="H92" s="65" t="n">
        <x:v>0.43258115172997297</x:v>
      </x:c>
      <x:c r="I92" s="65" t="n">
        <x:v>0.003136545483853974</x:v>
      </x:c>
      <x:c r="J92" s="65" t="n">
        <x:v>0.30067114093959735</x:v>
      </x:c>
      <x:c r="K92" s="65" t="n">
        <x:v>0.7281879194630873</x:v>
      </x:c>
      <x:c r="L92" s="65" t="n">
        <x:v>0.5641891891891893</x:v>
      </x:c>
      <x:c r="M92" s="65" t="n">
        <x:v>0.4679156895888383</x:v>
      </x:c>
      <x:c r="N92" s="63" t="n">
        <x:v>48.002517407544055</x:v>
      </x:c>
      <x:c r="O92" s="59" t="n">
        <x:v>86</x:v>
      </x:c>
      <x:c r="P92" s="63" t="n">
        <x:v>52.231678159384366</x:v>
      </x:c>
      <x:c r="Q92" s="59" t="n">
        <x:v>88</x:v>
      </x:c>
      <x:c r="R92" s="60" t="b">
        <x:v>0</x:v>
      </x:c>
      <x:c r="S92" s="59"/>
      <x:c r="T92" s="63" t="n">
        <x:v>52.231678159384366</x:v>
      </x:c>
    </x:row>
    <x:row r="93" ht="15" hidden="0">
      <x:c r="A93" s="59" t="str">
        <x:v>Peer 048</x:v>
      </x:c>
      <x:c r="B93" s="59" t="str">
        <x:v>Other peer</x:v>
      </x:c>
      <x:c r="C93" s="63" t="n">
        <x:v>16.995485</x:v>
      </x:c>
      <x:c r="D93" s="65" t="n">
        <x:v>0.1407269048220748</x:v>
      </x:c>
      <x:c r="E93" s="65" t="n">
        <x:v>0.033779677367253715</x:v>
      </x:c>
      <x:c r="F93" s="65" t="n">
        <x:v>0.1681612498848959</x:v>
      </x:c>
      <x:c r="G93" s="65" t="n">
        <x:v>0.04913280055123463</x:v>
      </x:c>
      <x:c r="H93" s="65" t="n">
        <x:v>0.44071752586501645</x:v>
      </x:c>
      <x:c r="I93" s="65" t="n">
        <x:v>0.004866188375167228</x:v>
      </x:c>
      <x:c r="J93" s="65" t="n">
        <x:v>0.4736635038185605</x:v>
      </x:c>
      <x:c r="K93" s="65" t="n">
        <x:v>0.5503355704697986</x:v>
      </x:c>
      <x:c r="L93" s="65" t="n">
        <x:v>0.7128378378378378</x:v>
      </x:c>
      <x:c r="M93" s="65" t="n">
        <x:v>0.5105623121468242</x:v>
      </x:c>
      <x:c r="N93" s="63" t="n">
        <x:v>50.10545723704139</x:v>
      </x:c>
      <x:c r="O93" s="59" t="n">
        <x:v>77</x:v>
      </x:c>
      <x:c r="P93" s="63" t="n">
        <x:v>52.06877030831174</x:v>
      </x:c>
      <x:c r="Q93" s="59" t="n">
        <x:v>89</x:v>
      </x:c>
      <x:c r="R93" s="60" t="b">
        <x:v>0</x:v>
      </x:c>
      <x:c r="S93" s="59"/>
      <x:c r="T93" s="63" t="n">
        <x:v>52.06877030831174</x:v>
      </x:c>
    </x:row>
    <x:row r="94" ht="15" hidden="0">
      <x:c r="A94" s="59" t="str">
        <x:v>Peer 061</x:v>
      </x:c>
      <x:c r="B94" s="59" t="str">
        <x:v>Other peer</x:v>
      </x:c>
      <x:c r="C94" s="63" t="n">
        <x:v>19.808858</x:v>
      </x:c>
      <x:c r="D94" s="65" t="n">
        <x:v>0.11197702563166438</x:v>
      </x:c>
      <x:c r="E94" s="65" t="n">
        <x:v>0.04184991381128584</x:v>
      </x:c>
      <x:c r="F94" s="65" t="n">
        <x:v>0.2627450305312906</x:v>
      </x:c>
      <x:c r="G94" s="65" t="n">
        <x:v>0.03223651199182016</x:v>
      </x:c>
      <x:c r="H94" s="65" t="n">
        <x:v>0.4185312517681157</x:v>
      </x:c>
      <x:c r="I94" s="65" t="n">
        <x:v>0.003290467005910076</x:v>
      </x:c>
      <x:c r="J94" s="65" t="n">
        <x:v>0.603332561906966</x:v>
      </x:c>
      <x:c r="K94" s="65" t="n">
        <x:v>0.47986577181208057</x:v>
      </x:c>
      <x:c r="L94" s="65" t="n">
        <x:v>0.48986486486486486</x:v>
      </x:c>
      <x:c r="M94" s="65" t="n">
        <x:v>0.5380693686494764</x:v>
      </x:c>
      <x:c r="N94" s="63" t="n">
        <x:v>51.15634282463134</x:v>
      </x:c>
      <x:c r="O94" s="59" t="n">
        <x:v>74</x:v>
      </x:c>
      <x:c r="P94" s="63" t="n">
        <x:v>51.58273206296995</x:v>
      </x:c>
      <x:c r="Q94" s="59" t="n">
        <x:v>90</x:v>
      </x:c>
      <x:c r="R94" s="60" t="b">
        <x:v>0</x:v>
      </x:c>
      <x:c r="S94" s="59"/>
      <x:c r="T94" s="63" t="n">
        <x:v>51.58273206296995</x:v>
      </x:c>
    </x:row>
    <x:row r="95" ht="15" hidden="0">
      <x:c r="A95" s="59" t="str">
        <x:v>Peer 066</x:v>
      </x:c>
      <x:c r="B95" s="59" t="str">
        <x:v>Other peer</x:v>
      </x:c>
      <x:c r="C95" s="63" t="n">
        <x:v>12.826414</x:v>
      </x:c>
      <x:c r="D95" s="65" t="n">
        <x:v>0.10391220804193596</x:v>
      </x:c>
      <x:c r="E95" s="65" t="n">
        <x:v>0.06350746202329037</x:v>
      </x:c>
      <x:c r="F95" s="65" t="n">
        <x:v>0.11470470234314907</x:v>
      </x:c>
      <x:c r="G95" s="65" t="n">
        <x:v>0.0022433620118530546</x:v>
      </x:c>
      <x:c r="H95" s="65" t="n">
        <x:v>0.5217134612150823</x:v>
      </x:c>
      <x:c r="I95" s="65" t="n">
        <x:v>0.008619294840258652</x:v>
      </x:c>
      <x:c r="J95" s="65" t="n">
        <x:v>0.20738255033557046</x:v>
      </x:c>
      <x:c r="K95" s="65" t="n">
        <x:v>0.5167785234899329</x:v>
      </x:c>
      <x:c r="L95" s="65" t="n">
        <x:v>0.7398648648648649</x:v>
      </x:c>
      <x:c r="M95" s="65" t="n">
        <x:v>0.32736958954672746</x:v>
      </x:c>
      <x:c r="N95" s="63" t="n">
        <x:v>42.009211099904505</x:v>
      </x:c>
      <x:c r="O95" s="59" t="n">
        <x:v>106</x:v>
      </x:c>
      <x:c r="P95" s="63" t="n">
        <x:v>51.3678686262517</x:v>
      </x:c>
      <x:c r="Q95" s="59" t="n">
        <x:v>91</x:v>
      </x:c>
      <x:c r="R95" s="60" t="b">
        <x:v>0</x:v>
      </x:c>
      <x:c r="S95" s="59"/>
      <x:c r="T95" s="63" t="n">
        <x:v>51.3678686262517</x:v>
      </x:c>
    </x:row>
    <x:row r="96" ht="15" hidden="0">
      <x:c r="A96" s="59" t="str">
        <x:v>Peer 114</x:v>
      </x:c>
      <x:c r="B96" s="59" t="str">
        <x:v>Other peer</x:v>
      </x:c>
      <x:c r="C96" s="63" t="n">
        <x:v>20.879065</x:v>
      </x:c>
      <x:c r="D96" s="65" t="n">
        <x:v>0.07198200685710783</x:v>
      </x:c>
      <x:c r="E96" s="65" t="n">
        <x:v>0.022231598972463566</x:v>
      </x:c>
      <x:c r="F96" s="65" t="n">
        <x:v>0.18224422405888385</x:v>
      </x:c>
      <x:c r="G96" s="65" t="n">
        <x:v>0.03375835125958386</x:v>
      </x:c>
      <x:c r="H96" s="65" t="n">
        <x:v>0.34944496349807275</x:v>
      </x:c>
      <x:c r="I96" s="65" t="n">
        <x:v>0.004297335746805726</x:v>
      </x:c>
      <x:c r="J96" s="65" t="n">
        <x:v>0.46248553575561213</x:v>
      </x:c>
      <x:c r="K96" s="65" t="n">
        <x:v>0.5302013422818792</x:v>
      </x:c>
      <x:c r="L96" s="65" t="n">
        <x:v>0.6385135135135135</x:v>
      </x:c>
      <x:c r="M96" s="65" t="n">
        <x:v>0.4951872896627897</x:v>
      </x:c>
      <x:c r="N96" s="63" t="n">
        <x:v>55.544739078424456</x:v>
      </x:c>
      <x:c r="O96" s="59" t="n">
        <x:v>54</x:v>
      </x:c>
      <x:c r="P96" s="63" t="n">
        <x:v>51.323112712825214</x:v>
      </x:c>
      <x:c r="Q96" s="59" t="n">
        <x:v>92</x:v>
      </x:c>
      <x:c r="R96" s="60" t="b">
        <x:v>0</x:v>
      </x:c>
      <x:c r="S96" s="59"/>
      <x:c r="T96" s="63" t="n">
        <x:v>51.323112712825214</x:v>
      </x:c>
    </x:row>
    <x:row r="97" ht="15" hidden="0">
      <x:c r="A97" s="59" t="str">
        <x:v>Peer 076</x:v>
      </x:c>
      <x:c r="B97" s="59" t="str">
        <x:v>Other peer</x:v>
      </x:c>
      <x:c r="C97" s="63" t="n">
        <x:v>31.679817</x:v>
      </x:c>
      <x:c r="D97" s="65" t="n">
        <x:v>0.0633832891143279</x:v>
      </x:c>
      <x:c r="E97" s="65" t="n">
        <x:v>0.026960225180593687</x:v>
      </x:c>
      <x:c r="F97" s="65" t="n">
        <x:v>0.3860241995716074</x:v>
      </x:c>
      <x:c r="G97" s="65" t="n">
        <x:v>0.00009213280470684088</x:v>
      </x:c>
      <x:c r="H97" s="65" t="n">
        <x:v>0.3847883256404254</x:v>
      </x:c>
      <x:c r="I97" s="65" t="n">
        <x:v>0.0014800011895932663</x:v>
      </x:c>
      <x:c r="J97" s="65" t="n">
        <x:v>0.5218930803054849</x:v>
      </x:c>
      <x:c r="K97" s="65" t="n">
        <x:v>0.5335570469798657</x:v>
      </x:c>
      <x:c r="L97" s="65" t="n">
        <x:v>0.3885135135135135</x:v>
      </x:c>
      <x:c r="M97" s="65" t="n">
        <x:v>0.5276928375172629</x:v>
      </x:c>
      <x:c r="N97" s="63" t="n">
        <x:v>54.510047359884226</x:v>
      </x:c>
      <x:c r="O97" s="59" t="n">
        <x:v>58</x:v>
      </x:c>
      <x:c r="P97" s="63" t="n">
        <x:v>51.10137687519124</x:v>
      </x:c>
      <x:c r="Q97" s="59" t="n">
        <x:v>93</x:v>
      </x:c>
      <x:c r="R97" s="60" t="b">
        <x:v>0</x:v>
      </x:c>
      <x:c r="S97" s="59"/>
      <x:c r="T97" s="63" t="n">
        <x:v>51.10137687519124</x:v>
      </x:c>
    </x:row>
    <x:row r="98" ht="15" hidden="0">
      <x:c r="A98" s="59" t="str">
        <x:v>Peer 090</x:v>
      </x:c>
      <x:c r="B98" s="59" t="str">
        <x:v>Other peer</x:v>
      </x:c>
      <x:c r="C98" s="63" t="n">
        <x:v>14.304653</x:v>
      </x:c>
      <x:c r="D98" s="65" t="n">
        <x:v>0.08254621765379419</x:v>
      </x:c>
      <x:c r="E98" s="65" t="n">
        <x:v>0.02436053499515158</x:v>
      </x:c>
      <x:c r="F98" s="65" t="n">
        <x:v>0.26124981850311224</x:v>
      </x:c>
      <x:c r="G98" s="65" t="n">
        <x:v>0</x:v>
      </x:c>
      <x:c r="H98" s="65" t="n">
        <x:v>0.402410024318065</x:v>
      </x:c>
      <x:c r="I98" s="65" t="n">
        <x:v>0.004770845220078861</x:v>
      </x:c>
      <x:c r="J98" s="65" t="n">
        <x:v>0.39498958574404075</x:v>
      </x:c>
      <x:c r="K98" s="65" t="n">
        <x:v>0.5805369127516778</x:v>
      </x:c>
      <x:c r="L98" s="65" t="n">
        <x:v>0.5878378378378378</x:v>
      </x:c>
      <x:c r="M98" s="65" t="n">
        <x:v>0.47885909689271805</x:v>
      </x:c>
      <x:c r="N98" s="63" t="n">
        <x:v>52.71452483789887</x:v>
      </x:c>
      <x:c r="O98" s="59" t="n">
        <x:v>67</x:v>
      </x:c>
      <x:c r="P98" s="63" t="n">
        <x:v>50.97407767645341</x:v>
      </x:c>
      <x:c r="Q98" s="59" t="n">
        <x:v>94</x:v>
      </x:c>
      <x:c r="R98" s="60" t="b">
        <x:v>0</x:v>
      </x:c>
      <x:c r="S98" s="59"/>
      <x:c r="T98" s="63" t="n">
        <x:v>50.97407767645341</x:v>
      </x:c>
    </x:row>
    <x:row r="99" ht="15" hidden="0">
      <x:c r="A99" s="59" t="str">
        <x:v>Peer 120</x:v>
      </x:c>
      <x:c r="B99" s="59" t="str">
        <x:v>Other peer</x:v>
      </x:c>
      <x:c r="C99" s="63" t="n">
        <x:v>15.845722</x:v>
      </x:c>
      <x:c r="D99" s="65" t="n">
        <x:v>0.11826289770828997</x:v>
      </x:c>
      <x:c r="E99" s="65" t="n">
        <x:v>0.07275332736495062</x:v>
      </x:c>
      <x:c r="F99" s="65" t="n">
        <x:v>0.15078479857213195</x:v>
      </x:c>
      <x:c r="G99" s="65" t="n">
        <x:v>0.015688159999060813</x:v>
      </x:c>
      <x:c r="H99" s="65" t="n">
        <x:v>0.5170436399280949</x:v>
      </x:c>
      <x:c r="I99" s="65" t="n">
        <x:v>0.0006052822160450075</x:v>
      </x:c>
      <x:c r="J99" s="65" t="n">
        <x:v>0.353992131451053</x:v>
      </x:c>
      <x:c r="K99" s="65" t="n">
        <x:v>0.4966442953020135</x:v>
      </x:c>
      <x:c r="L99" s="65" t="n">
        <x:v>0.11486486486486486</x:v>
      </x:c>
      <x:c r="M99" s="65" t="n">
        <x:v>0.41929485170577274</x:v>
      </x:c>
      <x:c r="N99" s="63" t="n">
        <x:v>36.01424717184121</x:v>
      </x:c>
      <x:c r="O99" s="59" t="n">
        <x:v>124</x:v>
      </x:c>
      <x:c r="P99" s="63" t="n">
        <x:v>50.075241029812155</x:v>
      </x:c>
      <x:c r="Q99" s="59" t="n">
        <x:v>95</x:v>
      </x:c>
      <x:c r="R99" s="60" t="b">
        <x:v>0</x:v>
      </x:c>
      <x:c r="S99" s="59"/>
      <x:c r="T99" s="63" t="n">
        <x:v>50.075241029812155</x:v>
      </x:c>
    </x:row>
    <x:row r="100" ht="15" hidden="0">
      <x:c r="A100" s="59" t="str">
        <x:v>Peer 004</x:v>
      </x:c>
      <x:c r="B100" s="59" t="str">
        <x:v>Other peer</x:v>
      </x:c>
      <x:c r="C100" s="63" t="n">
        <x:v>39.192</x:v>
      </x:c>
      <x:c r="D100" s="65" t="n">
        <x:v>0.24186058379261074</x:v>
      </x:c>
      <x:c r="E100" s="65" t="n">
        <x:v>0.40967544396815675</x:v>
      </x:c>
      <x:c r="F100" s="65" t="n">
        <x:v>0.018192488262910797</x:v>
      </x:c>
      <x:c r="G100" s="65" t="n">
        <x:v>0.0005274818018778352</x:v>
      </x:c>
      <x:c r="H100" s="65" t="n">
        <x:v>0.9714498695490122</x:v>
      </x:c>
      <x:c r="I100" s="65" t="n">
        <x:v>0.0033399658897100624</x:v>
      </x:c>
      <x:c r="J100" s="65" t="n">
        <x:v>0.0992594306873409</x:v>
      </x:c>
      <x:c r="K100" s="65" t="n">
        <x:v>0.5067114093959731</x:v>
      </x:c>
      <x:c r="L100" s="65" t="n">
        <x:v>0.27702702702702703</x:v>
      </x:c>
      <x:c r="M100" s="65" t="n">
        <x:v>0.22426744306614016</x:v>
      </x:c>
      <x:c r="N100" s="63" t="n">
        <x:v>25.767507771138305</x:v>
      </x:c>
      <x:c r="O100" s="59" t="n">
        <x:v>138</x:v>
      </x:c>
      <x:c r="P100" s="63" t="n">
        <x:v>50.061643450288074</x:v>
      </x:c>
      <x:c r="Q100" s="59" t="n">
        <x:v>96</x:v>
      </x:c>
      <x:c r="R100" s="60" t="b">
        <x:v>0</x:v>
      </x:c>
      <x:c r="S100" s="59"/>
      <x:c r="T100" s="63" t="n">
        <x:v>50.061643450288074</x:v>
      </x:c>
    </x:row>
    <x:row r="101" ht="15" hidden="0">
      <x:c r="A101" s="59" t="str">
        <x:v>Peer 096</x:v>
      </x:c>
      <x:c r="B101" s="59" t="str">
        <x:v>Other peer</x:v>
      </x:c>
      <x:c r="C101" s="63" t="n">
        <x:v>21.691786</x:v>
      </x:c>
      <x:c r="D101" s="65" t="n">
        <x:v>0.14375547499869307</x:v>
      </x:c>
      <x:c r="E101" s="65" t="n">
        <x:v>0.05084795691788588</x:v>
      </x:c>
      <x:c r="F101" s="65" t="n">
        <x:v>0.18394248403520116</x:v>
      </x:c>
      <x:c r="G101" s="65" t="n">
        <x:v>0.09361856875817148</x:v>
      </x:c>
      <x:c r="H101" s="65" t="n">
        <x:v>0.3320298141766391</x:v>
      </x:c>
      <x:c r="I101" s="65" t="n">
        <x:v>0.0021051223372041566</x:v>
      </x:c>
      <x:c r="J101" s="65" t="n">
        <x:v>0.6034945614441102</x:v>
      </x:c>
      <x:c r="K101" s="65" t="n">
        <x:v>0.31543624161073824</x:v>
      </x:c>
      <x:c r="L101" s="65" t="n">
        <x:v>0.2635135135135135</x:v>
      </x:c>
      <x:c r="M101" s="65" t="n">
        <x:v>0.4363072957153603</x:v>
      </x:c>
      <x:c r="N101" s="63" t="n">
        <x:v>38.96178795421649</x:v>
      </x:c>
      <x:c r="O101" s="59" t="n">
        <x:v>113</x:v>
      </x:c>
      <x:c r="P101" s="63" t="n">
        <x:v>48.74065863346006</x:v>
      </x:c>
      <x:c r="Q101" s="59" t="n">
        <x:v>97</x:v>
      </x:c>
      <x:c r="R101" s="60" t="b">
        <x:v>0</x:v>
      </x:c>
      <x:c r="S101" s="59"/>
      <x:c r="T101" s="63" t="n">
        <x:v>48.74065863346006</x:v>
      </x:c>
    </x:row>
    <x:row r="102" ht="15" hidden="0">
      <x:c r="A102" s="59" t="str">
        <x:v>Peer 115</x:v>
      </x:c>
      <x:c r="B102" s="59" t="str">
        <x:v>Other peer</x:v>
      </x:c>
      <x:c r="C102" s="63" t="n">
        <x:v>20.342081</x:v>
      </x:c>
      <x:c r="D102" s="65" t="n">
        <x:v>0.13107941119691738</x:v>
      </x:c>
      <x:c r="E102" s="65" t="n">
        <x:v>0.015656756061486532</x:v>
      </x:c>
      <x:c r="F102" s="65" t="n">
        <x:v>0.17637752990955055</x:v>
      </x:c>
      <x:c r="G102" s="65" t="n">
        <x:v>0.0171349085743174</x:v>
      </x:c>
      <x:c r="H102" s="65" t="n">
        <x:v>0.391759341500401</x:v>
      </x:c>
      <x:c r="I102" s="65" t="n">
        <x:v>0.0023889029035891176</x:v>
      </x:c>
      <x:c r="J102" s="65" t="n">
        <x:v>0.41793566304096275</x:v>
      </x:c>
      <x:c r="K102" s="65" t="n">
        <x:v>0.6476510067114094</x:v>
      </x:c>
      <x:c r="L102" s="65" t="n">
        <x:v>0.3513513513513513</x:v>
      </x:c>
      <x:c r="M102" s="65" t="n">
        <x:v>0.5202657521969708</x:v>
      </x:c>
      <x:c r="N102" s="63" t="n">
        <x:v>46.42116699062358</x:v>
      </x:c>
      <x:c r="O102" s="59" t="n">
        <x:v>90</x:v>
      </x:c>
      <x:c r="P102" s="63" t="n">
        <x:v>48.39928540865729</x:v>
      </x:c>
      <x:c r="Q102" s="59" t="n">
        <x:v>98</x:v>
      </x:c>
      <x:c r="R102" s="60" t="b">
        <x:v>0</x:v>
      </x:c>
      <x:c r="S102" s="59"/>
      <x:c r="T102" s="63" t="n">
        <x:v>48.39928540865729</x:v>
      </x:c>
    </x:row>
    <x:row r="103" ht="15" hidden="0">
      <x:c r="A103" s="59" t="str">
        <x:v>Peer 036</x:v>
      </x:c>
      <x:c r="B103" s="59" t="str">
        <x:v>Other peer</x:v>
      </x:c>
      <x:c r="C103" s="63" t="n">
        <x:v>31.424</x:v>
      </x:c>
      <x:c r="D103" s="65" t="n">
        <x:v>0.12324974541751528</x:v>
      </x:c>
      <x:c r="E103" s="65" t="n">
        <x:v>0.20653004073319756</x:v>
      </x:c>
      <x:c r="F103" s="65" t="n">
        <x:v>0.004136965376782077</x:v>
      </x:c>
      <x:c r="G103" s="65" t="n">
        <x:v>0</x:v>
      </x:c>
      <x:c r="H103" s="65" t="n">
        <x:v>0.6753045320420671</x:v>
      </x:c>
      <x:c r="I103" s="65" t="n">
        <x:v>0.00274487876785442</x:v>
      </x:c>
      <x:c r="J103" s="65" t="n">
        <x:v>0.03592918305947697</x:v>
      </x:c>
      <x:c r="K103" s="65" t="n">
        <x:v>0.5100671140939597</x:v>
      </x:c>
      <x:c r="L103" s="65" t="n">
        <x:v>0.5844594594594594</x:v>
      </x:c>
      <x:c r="M103" s="65" t="n">
        <x:v>0.13537464576094374</x:v>
      </x:c>
      <x:c r="N103" s="63" t="n">
        <x:v>29.24636601015052</x:v>
      </x:c>
      <x:c r="O103" s="59" t="n">
        <x:v>132</x:v>
      </x:c>
      <x:c r="P103" s="63" t="n">
        <x:v>48.344150314344446</x:v>
      </x:c>
      <x:c r="Q103" s="59" t="n">
        <x:v>99</x:v>
      </x:c>
      <x:c r="R103" s="60" t="b">
        <x:v>0</x:v>
      </x:c>
      <x:c r="S103" s="59"/>
      <x:c r="T103" s="63" t="n">
        <x:v>48.344150314344446</x:v>
      </x:c>
    </x:row>
    <x:row r="104" ht="15" hidden="0">
      <x:c r="A104" s="59" t="str">
        <x:v>Peer 003</x:v>
      </x:c>
      <x:c r="B104" s="59" t="str">
        <x:v>Other peer</x:v>
      </x:c>
      <x:c r="C104" s="63" t="n">
        <x:v>200.262969</x:v>
      </x:c>
      <x:c r="D104" s="65" t="n">
        <x:v>0.12193862460912581</x:v>
      </x:c>
      <x:c r="E104" s="65" t="n">
        <x:v>0.13174645882734315</x:v>
      </x:c>
      <x:c r="F104" s="65" t="n">
        <x:v>0.12186437723291718</x:v>
      </x:c>
      <x:c r="G104" s="65" t="n">
        <x:v>0.05297604717419572</x:v>
      </x:c>
      <x:c r="H104" s="65" t="n">
        <x:v>0.4715171227084664</x:v>
      </x:c>
      <x:c r="I104" s="65" t="n">
        <x:v>0.022825918321471492</x:v>
      </x:c>
      <x:c r="J104" s="65" t="n">
        <x:v>0.4068271233510762</x:v>
      </x:c>
      <x:c r="K104" s="65" t="n">
        <x:v>0.3859060402684564</x:v>
      </x:c>
      <x:c r="L104" s="65" t="n">
        <x:v>0.9594594594594594</x:v>
      </x:c>
      <x:c r="M104" s="65" t="n">
        <x:v>0.3962285252808292</x:v>
      </x:c>
      <x:c r="N104" s="63" t="n">
        <x:v>46.324211231414445</x:v>
      </x:c>
      <x:c r="O104" s="59" t="n">
        <x:v>91</x:v>
      </x:c>
      <x:c r="P104" s="63" t="n">
        <x:v>48.3002061505186</x:v>
      </x:c>
      <x:c r="Q104" s="59" t="n">
        <x:v>100</x:v>
      </x:c>
      <x:c r="R104" s="60" t="b">
        <x:v>0</x:v>
      </x:c>
      <x:c r="S104" s="59"/>
      <x:c r="T104" s="63" t="n">
        <x:v>48.3002061505186</x:v>
      </x:c>
    </x:row>
    <x:row r="105" ht="15" hidden="0">
      <x:c r="A105" s="59" t="str">
        <x:v>Peer 029</x:v>
      </x:c>
      <x:c r="B105" s="59" t="str">
        <x:v>Other peer</x:v>
      </x:c>
      <x:c r="C105" s="63" t="n">
        <x:v>16.915645</x:v>
      </x:c>
      <x:c r="D105" s="65" t="n">
        <x:v>0.12769232269889796</x:v>
      </x:c>
      <x:c r="E105" s="65" t="n">
        <x:v>0.03496260414545233</x:v>
      </x:c>
      <x:c r="F105" s="65" t="n">
        <x:v>0.2074974971394824</x:v>
      </x:c>
      <x:c r="G105" s="65" t="n">
        <x:v>0.012131029750953473</x:v>
      </x:c>
      <x:c r="H105" s="65" t="n">
        <x:v>0.4175452337043144</x:v>
      </x:c>
      <x:c r="I105" s="65" t="n">
        <x:v>0.0028700221764297647</x:v>
      </x:c>
      <x:c r="J105" s="65" t="n">
        <x:v>0.4610969682943763</x:v>
      </x:c>
      <x:c r="K105" s="65" t="n">
        <x:v>0.5167785234899329</x:v>
      </x:c>
      <x:c r="L105" s="65" t="n">
        <x:v>0.42905405405405406</x:v>
      </x:c>
      <x:c r="M105" s="65" t="n">
        <x:v>0.48814445655036603</x:v>
      </x:c>
      <x:c r="N105" s="63" t="n">
        <x:v>44.818380343630054</x:v>
      </x:c>
      <x:c r="O105" s="59" t="n">
        <x:v>100</x:v>
      </x:c>
      <x:c r="P105" s="63" t="n">
        <x:v>48.109501683156786</x:v>
      </x:c>
      <x:c r="Q105" s="59" t="n">
        <x:v>101</x:v>
      </x:c>
      <x:c r="R105" s="60" t="b">
        <x:v>0</x:v>
      </x:c>
      <x:c r="S105" s="59"/>
      <x:c r="T105" s="63" t="n">
        <x:v>48.109501683156786</x:v>
      </x:c>
    </x:row>
    <x:row r="106" ht="15" hidden="0">
      <x:c r="A106" s="59" t="str">
        <x:v>Peer 073</x:v>
      </x:c>
      <x:c r="B106" s="59" t="str">
        <x:v>Other peer</x:v>
      </x:c>
      <x:c r="C106" s="63" t="n">
        <x:v>104.445496</x:v>
      </x:c>
      <x:c r="D106" s="65" t="n">
        <x:v>0.1451066209690842</x:v>
      </x:c>
      <x:c r="E106" s="65" t="n">
        <x:v>0.22379173727127497</x:v>
      </x:c>
      <x:c r="F106" s="65" t="n">
        <x:v>0.10061112640031888</x:v>
      </x:c>
      <x:c r="G106" s="65" t="n">
        <x:v>0.003014040957306387</x:v>
      </x:c>
      <x:c r="H106" s="65" t="n">
        <x:v>0.5334526358732687</x:v>
      </x:c>
      <x:c r="I106" s="65" t="n">
        <x:v>0.006562791404262237</x:v>
      </x:c>
      <x:c r="J106" s="65" t="n">
        <x:v>0.18752603563989817</x:v>
      </x:c>
      <x:c r="K106" s="65" t="n">
        <x:v>0.4261744966442953</x:v>
      </x:c>
      <x:c r="L106" s="65" t="n">
        <x:v>0.7364864864864864</x:v>
      </x:c>
      <x:c r="M106" s="65" t="n">
        <x:v>0.2826991578454626</x:v>
      </x:c>
      <x:c r="N106" s="63" t="n">
        <x:v>34.52638684040159</x:v>
      </x:c>
      <x:c r="O106" s="59" t="n">
        <x:v>127</x:v>
      </x:c>
      <x:c r="P106" s="63" t="n">
        <x:v>46.975850905240776</x:v>
      </x:c>
      <x:c r="Q106" s="59" t="n">
        <x:v>102</x:v>
      </x:c>
      <x:c r="R106" s="60" t="b">
        <x:v>0</x:v>
      </x:c>
      <x:c r="S106" s="59"/>
      <x:c r="T106" s="63" t="n">
        <x:v>46.975850905240776</x:v>
      </x:c>
    </x:row>
    <x:row r="107" ht="15" hidden="0">
      <x:c r="A107" s="59" t="str">
        <x:v>Peer 071</x:v>
      </x:c>
      <x:c r="B107" s="59" t="str">
        <x:v>Other peer</x:v>
      </x:c>
      <x:c r="C107" s="63" t="n">
        <x:v>24.967889</x:v>
      </x:c>
      <x:c r="D107" s="65" t="n">
        <x:v>0.1364090892906485</x:v>
      </x:c>
      <x:c r="E107" s="65" t="n">
        <x:v>0.04474923771088537</x:v>
      </x:c>
      <x:c r="F107" s="65" t="n">
        <x:v>0.06549632610109729</x:v>
      </x:c>
      <x:c r="G107" s="65" t="n">
        <x:v>0.006373744915728745</x:v>
      </x:c>
      <x:c r="H107" s="65" t="n">
        <x:v>0.4742223959508984</x:v>
      </x:c>
      <x:c r="I107" s="65" t="n">
        <x:v>0.007540401250910552</x:v>
      </x:c>
      <x:c r="J107" s="65" t="n">
        <x:v>0.1951631566766952</x:v>
      </x:c>
      <x:c r="K107" s="65" t="n">
        <x:v>0.5201342281879194</x:v>
      </x:c>
      <x:c r="L107" s="65" t="n">
        <x:v>0.8277027027027027</x:v>
      </x:c>
      <x:c r="M107" s="65" t="n">
        <x:v>0.31860796893478804</x:v>
      </x:c>
      <x:c r="N107" s="63" t="n">
        <x:v>39.82599541360425</x:v>
      </x:c>
      <x:c r="O107" s="59" t="n">
        <x:v>112</x:v>
      </x:c>
      <x:c r="P107" s="63" t="n">
        <x:v>46.3565419040121</x:v>
      </x:c>
      <x:c r="Q107" s="59" t="n">
        <x:v>103</x:v>
      </x:c>
      <x:c r="R107" s="60" t="b">
        <x:v>0</x:v>
      </x:c>
      <x:c r="S107" s="59"/>
      <x:c r="T107" s="63" t="n">
        <x:v>46.3565419040121</x:v>
      </x:c>
    </x:row>
    <x:row r="108" ht="15" hidden="0">
      <x:c r="A108" s="59" t="str">
        <x:v>Peer 060</x:v>
      </x:c>
      <x:c r="B108" s="59" t="str">
        <x:v>Other peer</x:v>
      </x:c>
      <x:c r="C108" s="63" t="n">
        <x:v>13.520414</x:v>
      </x:c>
      <x:c r="D108" s="65" t="n">
        <x:v>0.11342049141394635</x:v>
      </x:c>
      <x:c r="E108" s="65" t="n">
        <x:v>0.11569623533717237</x:v>
      </x:c>
      <x:c r="F108" s="65" t="n">
        <x:v>0.18745565039650414</x:v>
      </x:c>
      <x:c r="G108" s="65" t="n">
        <x:v>0.05893542320403367</x:v>
      </x:c>
      <x:c r="H108" s="65" t="n">
        <x:v>0.36145074043915565</x:v>
      </x:c>
      <x:c r="I108" s="65" t="n">
        <x:v>0.014084264005832157</x:v>
      </x:c>
      <x:c r="J108" s="65" t="n">
        <x:v>0.5550335570469799</x:v>
      </x:c>
      <x:c r="K108" s="65" t="n">
        <x:v>0.2684563758389262</x:v>
      </x:c>
      <x:c r="L108" s="65" t="n">
        <x:v>0.7263513513513513</x:v>
      </x:c>
      <x:c r="M108" s="65" t="n">
        <x:v>0.38600815690062834</x:v>
      </x:c>
      <x:c r="N108" s="63" t="n">
        <x:v>44.35560785173619</x:v>
      </x:c>
      <x:c r="O108" s="59" t="n">
        <x:v>102</x:v>
      </x:c>
      <x:c r="P108" s="63" t="n">
        <x:v>45.87159126713683</x:v>
      </x:c>
      <x:c r="Q108" s="59" t="n">
        <x:v>104</x:v>
      </x:c>
      <x:c r="R108" s="60" t="b">
        <x:v>0</x:v>
      </x:c>
      <x:c r="S108" s="59"/>
      <x:c r="T108" s="63" t="n">
        <x:v>45.87159126713683</x:v>
      </x:c>
    </x:row>
    <x:row r="109" ht="15" hidden="0">
      <x:c r="A109" s="59" t="str">
        <x:v>Peer 065</x:v>
      </x:c>
      <x:c r="B109" s="59" t="str">
        <x:v>Other peer</x:v>
      </x:c>
      <x:c r="C109" s="63" t="n">
        <x:v>21.936467</x:v>
      </x:c>
      <x:c r="D109" s="65" t="n">
        <x:v>0.11698634059896701</x:v>
      </x:c>
      <x:c r="E109" s="65" t="n">
        <x:v>0.05298952652676477</x:v>
      </x:c>
      <x:c r="F109" s="65" t="n">
        <x:v>0.06743355709923572</x:v>
      </x:c>
      <x:c r="G109" s="65" t="n">
        <x:v>0.00230139732147902</x:v>
      </x:c>
      <x:c r="H109" s="65" t="n">
        <x:v>0.4971192350888715</x:v>
      </x:c>
      <x:c r="I109" s="65" t="n">
        <x:v>0.004396590031242095</x:v>
      </x:c>
      <x:c r="J109" s="65" t="n">
        <x:v>0.1571395510298542</x:v>
      </x:c>
      <x:c r="K109" s="65" t="n">
        <x:v>0.5033557046979866</x:v>
      </x:c>
      <x:c r="L109" s="65" t="n">
        <x:v>0.6858108108108107</x:v>
      </x:c>
      <x:c r="M109" s="65" t="n">
        <x:v>0.281242047789013</x:v>
      </x:c>
      <x:c r="N109" s="63" t="n">
        <x:v>37.14823675772914</x:v>
      </x:c>
      <x:c r="O109" s="59" t="n">
        <x:v>118</x:v>
      </x:c>
      <x:c r="P109" s="63" t="n">
        <x:v>45.54290218409953</x:v>
      </x:c>
      <x:c r="Q109" s="59" t="n">
        <x:v>105</x:v>
      </x:c>
      <x:c r="R109" s="60" t="b">
        <x:v>0</x:v>
      </x:c>
      <x:c r="S109" s="59"/>
      <x:c r="T109" s="63" t="n">
        <x:v>45.54290218409953</x:v>
      </x:c>
    </x:row>
    <x:row r="110" ht="15" hidden="0">
      <x:c r="A110" s="59" t="str">
        <x:v>Peer 053</x:v>
      </x:c>
      <x:c r="B110" s="59" t="str">
        <x:v>Other peer</x:v>
      </x:c>
      <x:c r="C110" s="63" t="n">
        <x:v>16.801651</x:v>
      </x:c>
      <x:c r="D110" s="65" t="n">
        <x:v>0.07658949706787743</x:v>
      </x:c>
      <x:c r="E110" s="65" t="n">
        <x:v>0.05243151402204462</x:v>
      </x:c>
      <x:c r="F110" s="65" t="n">
        <x:v>0.1999079138115653</x:v>
      </x:c>
      <x:c r="G110" s="65" t="n">
        <x:v>0.05038660895378566</x:v>
      </x:c>
      <x:c r="H110" s="65" t="n">
        <x:v>0.22894457915948074</x:v>
      </x:c>
      <x:c r="I110" s="65" t="n">
        <x:v>0.004907261039282225</x:v>
      </x:c>
      <x:c r="J110" s="65" t="n">
        <x:v>0.5509372830363342</x:v>
      </x:c>
      <x:c r="K110" s="65" t="n">
        <x:v>0.26174496644295303</x:v>
      </x:c>
      <x:c r="L110" s="65" t="n">
        <x:v>0.49324324324324326</x:v>
      </x:c>
      <x:c r="M110" s="65" t="n">
        <x:v>0.3797434142424553</x:v>
      </x:c>
      <x:c r="N110" s="63" t="n">
        <x:v>45.54423286390547</x:v>
      </x:c>
      <x:c r="O110" s="59" t="n">
        <x:v>96</x:v>
      </x:c>
      <x:c r="P110" s="63" t="n">
        <x:v>45.24807825251174</x:v>
      </x:c>
      <x:c r="Q110" s="59" t="n">
        <x:v>106</x:v>
      </x:c>
      <x:c r="R110" s="60" t="b">
        <x:v>0</x:v>
      </x:c>
      <x:c r="S110" s="59"/>
      <x:c r="T110" s="63" t="n">
        <x:v>45.24807825251174</x:v>
      </x:c>
    </x:row>
    <x:row r="111" ht="15" hidden="0">
      <x:c r="A111" s="59" t="str">
        <x:v>Peer 139</x:v>
      </x:c>
      <x:c r="B111" s="59" t="str">
        <x:v>Other peer</x:v>
      </x:c>
      <x:c r="C111" s="63" t="n">
        <x:v>12.980327</x:v>
      </x:c>
      <x:c r="D111" s="65" t="n">
        <x:v>0.09813566330031594</x:v>
      </x:c>
      <x:c r="E111" s="65" t="n">
        <x:v>0.043685263090829686</x:v>
      </x:c>
      <x:c r="F111" s="65" t="n">
        <x:v>0.09074532559927034</x:v>
      </x:c>
      <x:c r="G111" s="65" t="n">
        <x:v>0.07024704180218286</x:v>
      </x:c>
      <x:c r="H111" s="65" t="n">
        <x:v>0.3388648011391008</x:v>
      </x:c>
      <x:c r="I111" s="65" t="n">
        <x:v>0.001167609048242932</x:v>
      </x:c>
      <x:c r="J111" s="65" t="n">
        <x:v>0.38090719740800744</x:v>
      </x:c>
      <x:c r="K111" s="65" t="n">
        <x:v>0.35906040268456374</x:v>
      </x:c>
      <x:c r="L111" s="65" t="n">
        <x:v>0.2939189189189189</x:v>
      </x:c>
      <x:c r="M111" s="65" t="n">
        <x:v>0.36982251376405917</x:v>
      </x:c>
      <x:c r="N111" s="63" t="n">
        <x:v>37.46549432060801</x:v>
      </x:c>
      <x:c r="O111" s="59" t="n">
        <x:v>117</x:v>
      </x:c>
      <x:c r="P111" s="63" t="n">
        <x:v>45.03892151879964</x:v>
      </x:c>
      <x:c r="Q111" s="59" t="n">
        <x:v>107</x:v>
      </x:c>
      <x:c r="R111" s="60" t="b">
        <x:v>0</x:v>
      </x:c>
      <x:c r="S111" s="59"/>
      <x:c r="T111" s="63" t="n">
        <x:v>45.03892151879964</x:v>
      </x:c>
    </x:row>
    <x:row r="112" ht="15" hidden="0">
      <x:c r="A112" s="59" t="str">
        <x:v>Peer 078</x:v>
      </x:c>
      <x:c r="B112" s="59" t="str">
        <x:v>Other peer</x:v>
      </x:c>
      <x:c r="C112" s="63" t="n">
        <x:v>19.159409</x:v>
      </x:c>
      <x:c r="D112" s="65" t="n">
        <x:v>0.11849426044404605</x:v>
      </x:c>
      <x:c r="E112" s="65" t="n">
        <x:v>0.02712500161147977</x:v>
      </x:c>
      <x:c r="F112" s="65" t="n">
        <x:v>0.11730518410040727</x:v>
      </x:c>
      <x:c r="G112" s="65" t="n">
        <x:v>0.007471325122892331</x:v>
      </x:c>
      <x:c r="H112" s="65" t="n">
        <x:v>0.4099048133030644</x:v>
      </x:c>
      <x:c r="I112" s="65" t="n">
        <x:v>0.007034071851772998</x:v>
      </x:c>
      <x:c r="J112" s="65" t="n">
        <x:v>0.2793334876186068</x:v>
      </x:c>
      <x:c r="K112" s="65" t="n">
        <x:v>0.5536912751677853</x:v>
      </x:c>
      <x:c r="L112" s="65" t="n">
        <x:v>0.4560810810810811</x:v>
      </x:c>
      <x:c r="M112" s="65" t="n">
        <x:v>0.3932740964729449</x:v>
      </x:c>
      <x:c r="N112" s="63" t="n">
        <x:v>40.14486365035042</x:v>
      </x:c>
      <x:c r="O112" s="59" t="n">
        <x:v>111</x:v>
      </x:c>
      <x:c r="P112" s="63" t="n">
        <x:v>44.08305465724338</x:v>
      </x:c>
      <x:c r="Q112" s="59" t="n">
        <x:v>108</x:v>
      </x:c>
      <x:c r="R112" s="60" t="b">
        <x:v>0</x:v>
      </x:c>
      <x:c r="S112" s="59"/>
      <x:c r="T112" s="63" t="n">
        <x:v>44.08305465724338</x:v>
      </x:c>
    </x:row>
    <x:row r="113" ht="15" hidden="0">
      <x:c r="A113" s="59" t="str">
        <x:v>Peer 019</x:v>
      </x:c>
      <x:c r="B113" s="59" t="str">
        <x:v>Other peer</x:v>
      </x:c>
      <x:c r="C113" s="63" t="n">
        <x:v>14.547035</x:v>
      </x:c>
      <x:c r="D113" s="65" t="n">
        <x:v>0.09034273994666267</x:v>
      </x:c>
      <x:c r="E113" s="65" t="n">
        <x:v>0.02175577359922486</x:v>
      </x:c>
      <x:c r="F113" s="65" t="n">
        <x:v>0.09490043847423203</x:v>
      </x:c>
      <x:c r="G113" s="65" t="n">
        <x:v>0.00000836999008536629</x:v>
      </x:c>
      <x:c r="H113" s="65" t="n">
        <x:v>0.4126094570636686</x:v>
      </x:c>
      <x:c r="I113" s="65" t="n">
        <x:v>0.0069988689173213475</x:v>
      </x:c>
      <x:c r="J113" s="65" t="n">
        <x:v>0.12554964128673918</x:v>
      </x:c>
      <x:c r="K113" s="65" t="n">
        <x:v>0.6208053691275168</x:v>
      </x:c>
      <x:c r="L113" s="65" t="n">
        <x:v>0.5135135135135135</x:v>
      </x:c>
      <x:c r="M113" s="65" t="n">
        <x:v>0.279180750416001</x:v>
      </x:c>
      <x:c r="N113" s="63" t="n">
        <x:v>41.03968496102557</x:v>
      </x:c>
      <x:c r="O113" s="59" t="n">
        <x:v>109</x:v>
      </x:c>
      <x:c r="P113" s="63" t="n">
        <x:v>44.03454290914378</x:v>
      </x:c>
      <x:c r="Q113" s="59" t="n">
        <x:v>109</x:v>
      </x:c>
      <x:c r="R113" s="60" t="b">
        <x:v>0</x:v>
      </x:c>
      <x:c r="S113" s="59"/>
      <x:c r="T113" s="63" t="n">
        <x:v>44.03454290914378</x:v>
      </x:c>
    </x:row>
    <x:row r="114" ht="15" hidden="0">
      <x:c r="A114" s="59" t="str">
        <x:v>Peer 074</x:v>
      </x:c>
      <x:c r="B114" s="59" t="str">
        <x:v>Other peer</x:v>
      </x:c>
      <x:c r="C114" s="63" t="n">
        <x:v>29.430409</x:v>
      </x:c>
      <x:c r="D114" s="65" t="n">
        <x:v>0.1554547882769825</x:v>
      </x:c>
      <x:c r="E114" s="65" t="n">
        <x:v>0.03992115773858257</x:v>
      </x:c>
      <x:c r="F114" s="65" t="n">
        <x:v>0.1539219179726656</x:v>
      </x:c>
      <x:c r="G114" s="65" t="n">
        <x:v>0.0011191017110453152</x:v>
      </x:c>
      <x:c r="H114" s="65" t="n">
        <x:v>0.4194665794118965</x:v>
      </x:c>
      <x:c r="I114" s="65" t="n">
        <x:v>0.002401692550270931</x:v>
      </x:c>
      <x:c r="J114" s="65" t="n">
        <x:v>0.26750752140708167</x:v>
      </x:c>
      <x:c r="K114" s="65" t="n">
        <x:v>0.5033557046979866</x:v>
      </x:c>
      <x:c r="L114" s="65" t="n">
        <x:v>0.5236486486486487</x:v>
      </x:c>
      <x:c r="M114" s="65" t="n">
        <x:v>0.36694882061381984</x:v>
      </x:c>
      <x:c r="N114" s="63" t="n">
        <x:v>36.898651925537344</x:v>
      </x:c>
      <x:c r="O114" s="59" t="n">
        <x:v>120</x:v>
      </x:c>
      <x:c r="P114" s="63" t="n">
        <x:v>42.86800419613524</x:v>
      </x:c>
      <x:c r="Q114" s="59" t="n">
        <x:v>110</x:v>
      </x:c>
      <x:c r="R114" s="60" t="b">
        <x:v>0</x:v>
      </x:c>
      <x:c r="S114" s="59"/>
      <x:c r="T114" s="63" t="n">
        <x:v>42.86800419613524</x:v>
      </x:c>
    </x:row>
    <x:row r="115" ht="15" hidden="0">
      <x:c r="A115" s="59" t="str">
        <x:v>Peer 025</x:v>
      </x:c>
      <x:c r="B115" s="59" t="str">
        <x:v>Other peer</x:v>
      </x:c>
      <x:c r="C115" s="63" t="n">
        <x:v>28.274145</x:v>
      </x:c>
      <x:c r="D115" s="65" t="n">
        <x:v>0.09538735830915489</x:v>
      </x:c>
      <x:c r="E115" s="65" t="n">
        <x:v>0.04421385686463729</x:v>
      </x:c>
      <x:c r="F115" s="65" t="n">
        <x:v>0.18261733467095115</x:v>
      </x:c>
      <x:c r="G115" s="65" t="n">
        <x:v>0.013038580702381465</x:v>
      </x:c>
      <x:c r="H115" s="65" t="n">
        <x:v>0.3680033944154671</x:v>
      </x:c>
      <x:c r="I115" s="65" t="n">
        <x:v>0.006247574730414383</x:v>
      </x:c>
      <x:c r="J115" s="65" t="n">
        <x:v>0.4209210830826198</x:v>
      </x:c>
      <x:c r="K115" s="65" t="n">
        <x:v>0.3959731543624161</x:v>
      </x:c>
      <x:c r="L115" s="65" t="n">
        <x:v>0.8074324324324325</x:v>
      </x:c>
      <x:c r="M115" s="65" t="n">
        <x:v>0.4082565970145119</x:v>
      </x:c>
      <x:c r="N115" s="63" t="n">
        <x:v>48.673197047813865</x:v>
      </x:c>
      <x:c r="O115" s="59" t="n">
        <x:v>83</x:v>
      </x:c>
      <x:c r="P115" s="63" t="n">
        <x:v>42.8574665162455</x:v>
      </x:c>
      <x:c r="Q115" s="59" t="n">
        <x:v>111</x:v>
      </x:c>
      <x:c r="R115" s="60" t="b">
        <x:v>0</x:v>
      </x:c>
      <x:c r="S115" s="59"/>
      <x:c r="T115" s="63" t="n">
        <x:v>42.8574665162455</x:v>
      </x:c>
    </x:row>
    <x:row r="116" ht="15" hidden="0">
      <x:c r="A116" s="59" t="str">
        <x:v>Peer 047</x:v>
      </x:c>
      <x:c r="B116" s="59" t="str">
        <x:v>Other peer</x:v>
      </x:c>
      <x:c r="C116" s="63" t="n">
        <x:v>154.203</x:v>
      </x:c>
      <x:c r="D116" s="65" t="n">
        <x:v>0.09814335648463389</x:v>
      </x:c>
      <x:c r="E116" s="65" t="n">
        <x:v>0.07827992970305377</x:v>
      </x:c>
      <x:c r="F116" s="65" t="n">
        <x:v>0.188433428662218</x:v>
      </x:c>
      <x:c r="G116" s="65" t="n">
        <x:v>0.02603409541429893</x:v>
      </x:c>
      <x:c r="H116" s="65" t="n">
        <x:v>0.371180638603205</x:v>
      </x:c>
      <x:c r="I116" s="65" t="n">
        <x:v>0.007303768991340257</x:v>
      </x:c>
      <x:c r="J116" s="65" t="n">
        <x:v>0.47907891691738025</x:v>
      </x:c>
      <x:c r="K116" s="65" t="n">
        <x:v>0.3221476510067114</x:v>
      </x:c>
      <x:c r="L116" s="65" t="n">
        <x:v>0.7195945945945946</x:v>
      </x:c>
      <x:c r="M116" s="65" t="n">
        <x:v>0.39285385034612236</x:v>
      </x:c>
      <x:c r="N116" s="63" t="n">
        <x:v>45.96490302217834</x:v>
      </x:c>
      <x:c r="O116" s="59" t="n">
        <x:v>94</x:v>
      </x:c>
      <x:c r="P116" s="63" t="n">
        <x:v>42.556993974341154</x:v>
      </x:c>
      <x:c r="Q116" s="59" t="n">
        <x:v>112</x:v>
      </x:c>
      <x:c r="R116" s="60" t="b">
        <x:v>0</x:v>
      </x:c>
      <x:c r="S116" s="59"/>
      <x:c r="T116" s="63" t="n">
        <x:v>42.556993974341154</x:v>
      </x:c>
    </x:row>
    <x:row r="117" ht="15" hidden="0">
      <x:c r="A117" s="59" t="str">
        <x:v>Peer 126</x:v>
      </x:c>
      <x:c r="B117" s="59" t="str">
        <x:v>Other peer</x:v>
      </x:c>
      <x:c r="C117" s="63" t="n">
        <x:v>15.675667</x:v>
      </x:c>
      <x:c r="D117" s="65" t="n">
        <x:v>0.09586915823103412</x:v>
      </x:c>
      <x:c r="E117" s="65" t="n">
        <x:v>0.052402554864172605</x:v>
      </x:c>
      <x:c r="F117" s="65" t="n">
        <x:v>0.6536853583327586</x:v>
      </x:c>
      <x:c r="G117" s="65" t="n">
        <x:v>0.042793082040147375</x:v>
      </x:c>
      <x:c r="H117" s="65" t="n">
        <x:v>0.010041017522719046</x:v>
      </x:c>
      <x:c r="I117" s="65" t="n">
        <x:v>0.000025713038956010285</x:v>
      </x:c>
      <x:c r="J117" s="65" t="n">
        <x:v>0.7383013191390881</x:v>
      </x:c>
      <x:c r="K117" s="65" t="n">
        <x:v>0.18791946308724833</x:v>
      </x:c>
      <x:c r="L117" s="65" t="n">
        <x:v>0.19256756756756757</x:v>
      </x:c>
      <x:c r="M117" s="65" t="n">
        <x:v>0.37247978131601267</x:v>
      </x:c>
      <x:c r="N117" s="63" t="n">
        <x:v>42.12440266556104</x:v>
      </x:c>
      <x:c r="O117" s="59" t="n">
        <x:v>105</x:v>
      </x:c>
      <x:c r="P117" s="63" t="n">
        <x:v>42.21942258704631</x:v>
      </x:c>
      <x:c r="Q117" s="59" t="n">
        <x:v>113</x:v>
      </x:c>
      <x:c r="R117" s="60" t="b">
        <x:v>0</x:v>
      </x:c>
      <x:c r="S117" s="59"/>
      <x:c r="T117" s="63" t="n">
        <x:v>42.21942258704631</x:v>
      </x:c>
    </x:row>
    <x:row r="118" ht="15" hidden="0">
      <x:c r="A118" s="59" t="str">
        <x:v>Peer 130</x:v>
      </x:c>
      <x:c r="B118" s="59" t="str">
        <x:v>Other peer</x:v>
      </x:c>
      <x:c r="C118" s="63" t="n">
        <x:v>181.89</x:v>
      </x:c>
      <x:c r="D118" s="65" t="n">
        <x:v>0.07255484083786905</x:v>
      </x:c>
      <x:c r="E118" s="65" t="n">
        <x:v>0.02897355544559899</x:v>
      </x:c>
      <x:c r="F118" s="65" t="n">
        <x:v>0.14519214910110506</x:v>
      </x:c>
      <x:c r="G118" s="65" t="n">
        <x:v>0.013412139122527847</x:v>
      </x:c>
      <x:c r="H118" s="65" t="n">
        <x:v>0.1238139171327708</x:v>
      </x:c>
      <x:c r="I118" s="65" t="n">
        <x:v>0.010572253528370228</x:v>
      </x:c>
      <x:c r="J118" s="65" t="n">
        <x:v>0.33712103679703775</x:v>
      </x:c>
      <x:c r="K118" s="65" t="n">
        <x:v>0.3724832214765101</x:v>
      </x:c>
      <x:c r="L118" s="65" t="n">
        <x:v>0.9391891891891893</x:v>
      </x:c>
      <x:c r="M118" s="65" t="n">
        <x:v>0.35436129841400815</x:v>
      </x:c>
      <x:c r="N118" s="63" t="n">
        <x:v>49.31207471742681</x:v>
      </x:c>
      <x:c r="O118" s="59" t="n">
        <x:v>79</x:v>
      </x:c>
      <x:c r="P118" s="63" t="n">
        <x:v>41.42793007205995</x:v>
      </x:c>
      <x:c r="Q118" s="59" t="n">
        <x:v>114</x:v>
      </x:c>
      <x:c r="R118" s="60" t="b">
        <x:v>0</x:v>
      </x:c>
      <x:c r="S118" s="59"/>
      <x:c r="T118" s="63" t="n">
        <x:v>41.42793007205995</x:v>
      </x:c>
    </x:row>
    <x:row r="119" ht="15" hidden="0">
      <x:c r="A119" s="59" t="str">
        <x:v>Peer 085</x:v>
      </x:c>
      <x:c r="B119" s="59" t="str">
        <x:v>Other peer</x:v>
      </x:c>
      <x:c r="C119" s="63" t="n">
        <x:v>21.645013</x:v>
      </x:c>
      <x:c r="D119" s="65" t="n">
        <x:v>0.09958266137331495</x:v>
      </x:c>
      <x:c r="E119" s="65" t="n">
        <x:v>0.029838836317631224</x:v>
      </x:c>
      <x:c r="F119" s="65" t="n">
        <x:v>0.11611362857578325</x:v>
      </x:c>
      <x:c r="G119" s="65" t="n">
        <x:v>0.02384076219178387</x:v>
      </x:c>
      <x:c r="H119" s="65" t="n">
        <x:v>0.3504986554484517</x:v>
      </x:c>
      <x:c r="I119" s="65" t="n">
        <x:v>0.0016990583819495354</x:v>
      </x:c>
      <x:c r="J119" s="65" t="n">
        <x:v>0.334691043739875</x:v>
      </x:c>
      <x:c r="K119" s="65" t="n">
        <x:v>0.46308724832214765</x:v>
      </x:c>
      <x:c r="L119" s="65" t="n">
        <x:v>0.15878378378378377</x:v>
      </x:c>
      <x:c r="M119" s="65" t="n">
        <x:v>0.3936891597232089</x:v>
      </x:c>
      <x:c r="N119" s="63" t="n">
        <x:v>37.1169946386035</x:v>
      </x:c>
      <x:c r="O119" s="59" t="n">
        <x:v>119</x:v>
      </x:c>
      <x:c r="P119" s="63" t="n">
        <x:v>40.74800759822457</x:v>
      </x:c>
      <x:c r="Q119" s="59" t="n">
        <x:v>115</x:v>
      </x:c>
      <x:c r="R119" s="60" t="b">
        <x:v>0</x:v>
      </x:c>
      <x:c r="S119" s="59"/>
      <x:c r="T119" s="63" t="n">
        <x:v>40.74800759822457</x:v>
      </x:c>
    </x:row>
    <x:row r="120" ht="15" hidden="0">
      <x:c r="A120" s="59" t="str">
        <x:v>Peer 050</x:v>
      </x:c>
      <x:c r="B120" s="59" t="str">
        <x:v>Other peer</x:v>
      </x:c>
      <x:c r="C120" s="63" t="n">
        <x:v>19.30988</x:v>
      </x:c>
      <x:c r="D120" s="65" t="n">
        <x:v>0.08092789805011735</x:v>
      </x:c>
      <x:c r="E120" s="65" t="n">
        <x:v>0.046078121666214396</x:v>
      </x:c>
      <x:c r="F120" s="65" t="n">
        <x:v>0.32935533519628296</x:v>
      </x:c>
      <x:c r="G120" s="65" t="n">
        <x:v>0.003176537139376006</x:v>
      </x:c>
      <x:c r="H120" s="65" t="n">
        <x:v>0.3446632174118736</x:v>
      </x:c>
      <x:c r="I120" s="65" t="n">
        <x:v>0.0020489707931857226</x:v>
      </x:c>
      <x:c r="J120" s="65" t="n">
        <x:v>0.533256190696598</x:v>
      </x:c>
      <x:c r="K120" s="65" t="n">
        <x:v>0.348993288590604</x:v>
      </x:c>
      <x:c r="L120" s="65" t="n">
        <x:v>0.4020270270270271</x:v>
      </x:c>
      <x:c r="M120" s="65" t="n">
        <x:v>0.431396374176353</x:v>
      </x:c>
      <x:c r="N120" s="63" t="n">
        <x:v>46.55504229321848</x:v>
      </x:c>
      <x:c r="O120" s="59" t="n">
        <x:v>89</x:v>
      </x:c>
      <x:c r="P120" s="63" t="n">
        <x:v>40.617928390474276</x:v>
      </x:c>
      <x:c r="Q120" s="59" t="n">
        <x:v>116</x:v>
      </x:c>
      <x:c r="R120" s="60" t="b">
        <x:v>0</x:v>
      </x:c>
      <x:c r="S120" s="59"/>
      <x:c r="T120" s="63" t="n">
        <x:v>40.617928390474276</x:v>
      </x:c>
    </x:row>
    <x:row r="121" ht="15" hidden="0">
      <x:c r="A121" s="59" t="str">
        <x:v>Peer 040</x:v>
      </x:c>
      <x:c r="B121" s="59" t="str">
        <x:v>Other peer</x:v>
      </x:c>
      <x:c r="C121" s="63" t="n">
        <x:v>26.44142</x:v>
      </x:c>
      <x:c r="D121" s="65" t="n">
        <x:v>0.06827156030198075</x:v>
      </x:c>
      <x:c r="E121" s="65" t="n">
        <x:v>0.02906428625996637</x:v>
      </x:c>
      <x:c r="F121" s="65" t="n">
        <x:v>0.3008881898173396</x:v>
      </x:c>
      <x:c r="G121" s="65" t="n">
        <x:v>0.0001263020047119511</x:v>
      </x:c>
      <x:c r="H121" s="65" t="n">
        <x:v>0.26061174831926337</x:v>
      </x:c>
      <x:c r="I121" s="65" t="n">
        <x:v>0.005749473750353451</x:v>
      </x:c>
      <x:c r="J121" s="65" t="n">
        <x:v>0.46829437630178194</x:v>
      </x:c>
      <x:c r="K121" s="65" t="n">
        <x:v>0.39597315436241615</x:v>
      </x:c>
      <x:c r="L121" s="65" t="n">
        <x:v>0.7736486486486487</x:v>
      </x:c>
      <x:c r="M121" s="65" t="n">
        <x:v>0.43061816189566005</x:v>
      </x:c>
      <x:c r="N121" s="63" t="n">
        <x:v>53.02651083671126</x:v>
      </x:c>
      <x:c r="O121" s="59" t="n">
        <x:v>65</x:v>
      </x:c>
      <x:c r="P121" s="63" t="n">
        <x:v>40.163203102308955</x:v>
      </x:c>
      <x:c r="Q121" s="59" t="n">
        <x:v>117</x:v>
      </x:c>
      <x:c r="R121" s="60" t="b">
        <x:v>0</x:v>
      </x:c>
      <x:c r="S121" s="59"/>
      <x:c r="T121" s="63" t="n">
        <x:v>40.163203102308955</x:v>
      </x:c>
    </x:row>
    <x:row r="122" ht="15" hidden="0">
      <x:c r="A122" s="59" t="str">
        <x:v>Peer 058</x:v>
      </x:c>
      <x:c r="B122" s="59" t="str">
        <x:v>Other peer</x:v>
      </x:c>
      <x:c r="C122" s="63" t="n">
        <x:v>31.844724</x:v>
      </x:c>
      <x:c r="D122" s="65" t="n">
        <x:v>0.08617414928764966</x:v>
      </x:c>
      <x:c r="E122" s="65" t="n">
        <x:v>0.04064814629889711</x:v>
      </x:c>
      <x:c r="F122" s="65" t="n">
        <x:v>0.10237912565987382</x:v>
      </x:c>
      <x:c r="G122" s="65" t="n">
        <x:v>0.0221821213676011</x:v>
      </x:c>
      <x:c r="H122" s="65" t="n">
        <x:v>0.3695897378700664</x:v>
      </x:c>
      <x:c r="I122" s="65" t="n">
        <x:v>0.002488139606067312</x:v>
      </x:c>
      <x:c r="J122" s="65" t="n">
        <x:v>0.28380004628558203</x:v>
      </x:c>
      <x:c r="K122" s="65" t="n">
        <x:v>0.43288590604026844</x:v>
      </x:c>
      <x:c r="L122" s="65" t="n">
        <x:v>0.43243243243243246</x:v>
      </x:c>
      <x:c r="M122" s="65" t="n">
        <x:v>0.35050398024930374</x:v>
      </x:c>
      <x:c r="N122" s="63" t="n">
        <x:v>40.48600407034638</x:v>
      </x:c>
      <x:c r="O122" s="59" t="n">
        <x:v>110</x:v>
      </x:c>
      <x:c r="P122" s="63" t="n">
        <x:v>39.952616680362766</x:v>
      </x:c>
      <x:c r="Q122" s="59" t="n">
        <x:v>118</x:v>
      </x:c>
      <x:c r="R122" s="60" t="b">
        <x:v>0</x:v>
      </x:c>
      <x:c r="S122" s="59"/>
      <x:c r="T122" s="63" t="n">
        <x:v>39.952616680362766</x:v>
      </x:c>
    </x:row>
    <x:row r="123" ht="15" hidden="0">
      <x:c r="A123" s="59" t="str">
        <x:v>Peer 099</x:v>
      </x:c>
      <x:c r="B123" s="59" t="str">
        <x:v>Other peer</x:v>
      </x:c>
      <x:c r="C123" s="63" t="n">
        <x:v>90.036656</x:v>
      </x:c>
      <x:c r="D123" s="65" t="n">
        <x:v>0.10698531495883187</x:v>
      </x:c>
      <x:c r="E123" s="65" t="n">
        <x:v>0.01374931116944192</x:v>
      </x:c>
      <x:c r="F123" s="65" t="n">
        <x:v>0.10077622163133203</x:v>
      </x:c>
      <x:c r="G123" s="65" t="n">
        <x:v>0.001434192222245292</x:v>
      </x:c>
      <x:c r="H123" s="65" t="n">
        <x:v>0.3330063402932496</x:v>
      </x:c>
      <x:c r="I123" s="65" t="n">
        <x:v>0.009353475443616742</x:v>
      </x:c>
      <x:c r="J123" s="65" t="n">
        <x:v>0.17364036102753994</x:v>
      </x:c>
      <x:c r="K123" s="65" t="n">
        <x:v>0.6040268456375839</x:v>
      </x:c>
      <x:c r="L123" s="65" t="n">
        <x:v>0.7432432432432432</x:v>
      </x:c>
      <x:c r="M123" s="65" t="n">
        <x:v>0.32385712829399976</x:v>
      </x:c>
      <x:c r="N123" s="63" t="n">
        <x:v>43.33652177301236</x:v>
      </x:c>
      <x:c r="O123" s="59" t="n">
        <x:v>103</x:v>
      </x:c>
      <x:c r="P123" s="63" t="n">
        <x:v>38.35501117737508</x:v>
      </x:c>
      <x:c r="Q123" s="59" t="n">
        <x:v>119</x:v>
      </x:c>
      <x:c r="R123" s="60" t="b">
        <x:v>0</x:v>
      </x:c>
      <x:c r="S123" s="59"/>
      <x:c r="T123" s="63" t="n">
        <x:v>38.35501117737508</x:v>
      </x:c>
    </x:row>
    <x:row r="124" ht="15" hidden="0">
      <x:c r="A124" s="59" t="str">
        <x:v>Peer 098</x:v>
      </x:c>
      <x:c r="B124" s="59" t="str">
        <x:v>Other peer</x:v>
      </x:c>
      <x:c r="C124" s="63" t="n">
        <x:v>11.417843</x:v>
      </x:c>
      <x:c r="D124" s="65" t="n">
        <x:v>0.09041515109289908</x:v>
      </x:c>
      <x:c r="E124" s="65" t="n">
        <x:v>0.02605343233393558</x:v>
      </x:c>
      <x:c r="F124" s="65" t="n">
        <x:v>0.1828327819886821</x:v>
      </x:c>
      <x:c r="G124" s="65" t="n">
        <x:v>0.0007013152567065693</x:v>
      </x:c>
      <x:c r="H124" s="65" t="n">
        <x:v>0.27532434200177175</x:v>
      </x:c>
      <x:c r="I124" s="65" t="n">
        <x:v>0.004885520792120393</x:v>
      </x:c>
      <x:c r="J124" s="65" t="n">
        <x:v>0.3277250636426753</x:v>
      </x:c>
      <x:c r="K124" s="65" t="n">
        <x:v>0.436241610738255</x:v>
      </x:c>
      <x:c r="L124" s="65" t="n">
        <x:v>0.6418918918918919</x:v>
      </x:c>
      <x:c r="M124" s="65" t="n">
        <x:v>0.3781101818819189</x:v>
      </x:c>
      <x:c r="N124" s="63" t="n">
        <x:v>44.90868651044886</x:v>
      </x:c>
      <x:c r="O124" s="59" t="n">
        <x:v>99</x:v>
      </x:c>
      <x:c r="P124" s="63" t="n">
        <x:v>36.78404449029385</x:v>
      </x:c>
      <x:c r="Q124" s="59" t="n">
        <x:v>120</x:v>
      </x:c>
      <x:c r="R124" s="60" t="b">
        <x:v>0</x:v>
      </x:c>
      <x:c r="S124" s="59"/>
      <x:c r="T124" s="63" t="n">
        <x:v>36.78404449029385</x:v>
      </x:c>
    </x:row>
    <x:row r="125" ht="15" hidden="0">
      <x:c r="A125" s="59" t="str">
        <x:v>Peer 137</x:v>
      </x:c>
      <x:c r="B125" s="59" t="str">
        <x:v>Other peer</x:v>
      </x:c>
      <x:c r="C125" s="63" t="n">
        <x:v>15.595743</x:v>
      </x:c>
      <x:c r="D125" s="65" t="n">
        <x:v>0.06205911446476131</x:v>
      </x:c>
      <x:c r="E125" s="65" t="n">
        <x:v>0.06325078580738347</x:v>
      </x:c>
      <x:c r="F125" s="65" t="n">
        <x:v>0.10825101439540265</x:v>
      </x:c>
      <x:c r="G125" s="65" t="n">
        <x:v>0</x:v>
      </x:c>
      <x:c r="H125" s="65" t="n">
        <x:v>0.41219329701617485</x:v>
      </x:c>
      <x:c r="I125" s="65" t="n">
        <x:v>0</x:v>
      </x:c>
      <x:c r="J125" s="65" t="n">
        <x:v>0.12988891460310115</x:v>
      </x:c>
      <x:c r="K125" s="65" t="n">
        <x:v>0.38926174496644295</x:v>
      </x:c>
      <x:c r="L125" s="65" t="n">
        <x:v>0.2179054054054054</x:v>
      </x:c>
      <x:c r="M125" s="65" t="n">
        <x:v>0.22485725594296582</x:v>
      </x:c>
      <x:c r="N125" s="63" t="n">
        <x:v>31.38837350041534</x:v>
      </x:c>
      <x:c r="O125" s="59" t="n">
        <x:v>130</x:v>
      </x:c>
      <x:c r="P125" s="63" t="n">
        <x:v>36.75208524470606</x:v>
      </x:c>
      <x:c r="Q125" s="59" t="n">
        <x:v>121</x:v>
      </x:c>
      <x:c r="R125" s="60" t="b">
        <x:v>0</x:v>
      </x:c>
      <x:c r="S125" s="59"/>
      <x:c r="T125" s="63" t="n">
        <x:v>36.75208524470606</x:v>
      </x:c>
    </x:row>
    <x:row r="126" ht="15" hidden="0">
      <x:c r="A126" s="59" t="str">
        <x:v>Peer 017</x:v>
      </x:c>
      <x:c r="B126" s="59" t="str">
        <x:v>Other peer</x:v>
      </x:c>
      <x:c r="C126" s="63" t="n">
        <x:v>34.68105</x:v>
      </x:c>
      <x:c r="D126" s="65" t="n">
        <x:v>0.10686314284025426</x:v>
      </x:c>
      <x:c r="E126" s="65" t="n">
        <x:v>0.01652176044266249</x:v>
      </x:c>
      <x:c r="F126" s="65" t="n">
        <x:v>0.08605249841051525</x:v>
      </x:c>
      <x:c r="G126" s="65" t="n">
        <x:v>0.003366318360465888</x:v>
      </x:c>
      <x:c r="H126" s="65" t="n">
        <x:v>0.25078102929586865</x:v>
      </x:c>
      <x:c r="I126" s="65" t="n">
        <x:v>0.11021677964062694</x:v>
      </x:c>
      <x:c r="J126" s="65" t="n">
        <x:v>0.18454061559824114</x:v>
      </x:c>
      <x:c r="K126" s="65" t="n">
        <x:v>0.5167785234899329</x:v>
      </x:c>
      <x:c r="L126" s="65" t="n">
        <x:v>0.9966216216216216</x:v>
      </x:c>
      <x:c r="M126" s="65" t="n">
        <x:v>0.3088148747272099</x:v>
      </x:c>
      <x:c r="N126" s="63" t="n">
        <x:v>44.69008713511907</x:v>
      </x:c>
      <x:c r="O126" s="59" t="n">
        <x:v>101</x:v>
      </x:c>
      <x:c r="P126" s="63" t="n">
        <x:v>36.3297365445639</x:v>
      </x:c>
      <x:c r="Q126" s="59" t="n">
        <x:v>122</x:v>
      </x:c>
      <x:c r="R126" s="60" t="b">
        <x:v>0</x:v>
      </x:c>
      <x:c r="S126" s="59"/>
      <x:c r="T126" s="63" t="n">
        <x:v>36.3297365445639</x:v>
      </x:c>
    </x:row>
    <x:row r="127" ht="15" hidden="0">
      <x:c r="A127" s="59" t="str">
        <x:v>Peer 118</x:v>
      </x:c>
      <x:c r="B127" s="59" t="str">
        <x:v>Other peer</x:v>
      </x:c>
      <x:c r="C127" s="63" t="n">
        <x:v>11.55629</x:v>
      </x:c>
      <x:c r="D127" s="65" t="n">
        <x:v>0.1679144431301049</x:v>
      </x:c>
      <x:c r="E127" s="65" t="n">
        <x:v>0.04068978885092015</x:v>
      </x:c>
      <x:c r="F127" s="65" t="n">
        <x:v>0.06347954230985896</x:v>
      </x:c>
      <x:c r="G127" s="65" t="n">
        <x:v>0.003235817338909995</x:v>
      </x:c>
      <x:c r="H127" s="65" t="n">
        <x:v>0.40209758174603083</x:v>
      </x:c>
      <x:c r="I127" s="65" t="n">
        <x:v>0.003943504381502493</x:v>
      </x:c>
      <x:c r="J127" s="65" t="n">
        <x:v>0.1642212450821569</x:v>
      </x:c>
      <x:c r="K127" s="65" t="n">
        <x:v>0.46308724832214765</x:v>
      </x:c>
      <x:c r="L127" s="65" t="n">
        <x:v>0.4932432432432432</x:v>
      </x:c>
      <x:c r="M127" s="65" t="n">
        <x:v>0.2757694045776889</x:v>
      </x:c>
      <x:c r="N127" s="63" t="n">
        <x:v>30.630306588408633</x:v>
      </x:c>
      <x:c r="O127" s="59" t="n">
        <x:v>131</x:v>
      </x:c>
      <x:c r="P127" s="63" t="n">
        <x:v>36.25399495808242</x:v>
      </x:c>
      <x:c r="Q127" s="59" t="n">
        <x:v>123</x:v>
      </x:c>
      <x:c r="R127" s="60" t="b">
        <x:v>0</x:v>
      </x:c>
      <x:c r="S127" s="59"/>
      <x:c r="T127" s="63" t="n">
        <x:v>36.25399495808242</x:v>
      </x:c>
    </x:row>
    <x:row r="128" ht="15" hidden="0">
      <x:c r="A128" s="59" t="str">
        <x:v>Peer 001</x:v>
      </x:c>
      <x:c r="B128" s="59" t="str">
        <x:v>Other peer</x:v>
      </x:c>
      <x:c r="C128" s="63" t="n">
        <x:v>27.656568</x:v>
      </x:c>
      <x:c r="D128" s="65" t="n">
        <x:v>0.16956474859787374</x:v>
      </x:c>
      <x:c r="E128" s="65" t="n">
        <x:v>0.03736739858683839</x:v>
      </x:c>
      <x:c r="F128" s="65" t="n">
        <x:v>0.12624896191024135</x:v>
      </x:c>
      <x:c r="G128" s="65" t="n">
        <x:v>0</x:v>
      </x:c>
      <x:c r="H128" s="65" t="n">
        <x:v>0.4044147520321144</x:v>
      </x:c>
      <x:c r="I128" s="65" t="n">
        <x:v>0.002427619585759345</x:v>
      </x:c>
      <x:c r="J128" s="65" t="n">
        <x:v>0.16680166628095347</x:v>
      </x:c>
      <x:c r="K128" s="65" t="n">
        <x:v>0.4865771812080537</x:v>
      </x:c>
      <x:c r="L128" s="65" t="n">
        <x:v>0.2162162162162162</x:v>
      </x:c>
      <x:c r="M128" s="65" t="n">
        <x:v>0.28488924970906293</x:v>
      </x:c>
      <x:c r="N128" s="63" t="n">
        <x:v>27.324843965273544</x:v>
      </x:c>
      <x:c r="O128" s="59" t="n">
        <x:v>136</x:v>
      </x:c>
      <x:c r="P128" s="63" t="n">
        <x:v>36.04541317084207</x:v>
      </x:c>
      <x:c r="Q128" s="59" t="n">
        <x:v>124</x:v>
      </x:c>
      <x:c r="R128" s="60" t="b">
        <x:v>0</x:v>
      </x:c>
      <x:c r="S128" s="59"/>
      <x:c r="T128" s="63" t="n">
        <x:v>36.04541317084207</x:v>
      </x:c>
    </x:row>
    <x:row r="129" ht="15" hidden="0">
      <x:c r="A129" s="59" t="str">
        <x:v>Peer 127</x:v>
      </x:c>
      <x:c r="B129" s="59" t="str">
        <x:v>Other peer</x:v>
      </x:c>
      <x:c r="C129" s="63" t="n">
        <x:v>120.987397</x:v>
      </x:c>
      <x:c r="D129" s="65" t="n">
        <x:v>0.07780587262324522</x:v>
      </x:c>
      <x:c r="E129" s="65" t="n">
        <x:v>0.19351128779140525</x:v>
      </x:c>
      <x:c r="F129" s="65" t="n">
        <x:v>0.06250635345101276</x:v>
      </x:c>
      <x:c r="G129" s="65" t="n">
        <x:v>0.046274670607094254</x:v>
      </x:c>
      <x:c r="H129" s="65" t="n">
        <x:v>0.2644165476996683</x:v>
      </x:c>
      <x:c r="I129" s="65" t="n">
        <x:v>0.00015900364528462812</x:v>
      </x:c>
      <x:c r="J129" s="65" t="n">
        <x:v>0.3023374218930803</x:v>
      </x:c>
      <x:c r="K129" s="65" t="n">
        <x:v>0.1476510067114094</x:v>
      </x:c>
      <x:c r="L129" s="65" t="n">
        <x:v>0.057432432432432436</x:v>
      </x:c>
      <x:c r="M129" s="65" t="n">
        <x:v>0.21128280741471941</x:v>
      </x:c>
      <x:c r="N129" s="63" t="n">
        <x:v>25.530381455841972</x:v>
      </x:c>
      <x:c r="O129" s="59" t="n">
        <x:v>139</x:v>
      </x:c>
      <x:c r="P129" s="63" t="n">
        <x:v>32.463292737672475</x:v>
      </x:c>
      <x:c r="Q129" s="59" t="n">
        <x:v>125</x:v>
      </x:c>
      <x:c r="R129" s="60" t="b">
        <x:v>0</x:v>
      </x:c>
      <x:c r="S129" s="59"/>
      <x:c r="T129" s="63" t="n">
        <x:v>32.463292737672475</x:v>
      </x:c>
    </x:row>
    <x:row r="130" ht="15" hidden="0">
      <x:c r="A130" s="59" t="str">
        <x:v>Peer 121</x:v>
      </x:c>
      <x:c r="B130" s="59" t="str">
        <x:v>Other peer</x:v>
      </x:c>
      <x:c r="C130" s="63" t="n">
        <x:v>11.886358</x:v>
      </x:c>
      <x:c r="D130" s="65" t="n">
        <x:v>0.1494020287795471</x:v>
      </x:c>
      <x:c r="E130" s="65" t="n">
        <x:v>0.047067739336136435</x:v>
      </x:c>
      <x:c r="F130" s="65" t="n">
        <x:v>0.1912516853354072</x:v>
      </x:c>
      <x:c r="G130" s="65" t="n">
        <x:v>0.00835770669303532</x:v>
      </x:c>
      <x:c r="H130" s="65" t="n">
        <x:v>0.056024684562851305</x:v>
      </x:c>
      <x:c r="I130" s="65" t="n">
        <x:v>0.0016346126064432696</x:v>
      </x:c>
      <x:c r="J130" s="65" t="n">
        <x:v>0.427169636658181</x:v>
      </x:c>
      <x:c r="K130" s="65" t="n">
        <x:v>0.22483221476510068</x:v>
      </x:c>
      <x:c r="L130" s="65" t="n">
        <x:v>0.5202702702702703</x:v>
      </x:c>
      <x:c r="M130" s="65" t="n">
        <x:v>0.3099056235215201</x:v>
      </x:c>
      <x:c r="N130" s="63" t="n">
        <x:v>32.63338360474771</x:v>
      </x:c>
      <x:c r="O130" s="59" t="n">
        <x:v>128</x:v>
      </x:c>
      <x:c r="P130" s="63" t="n">
        <x:v>30.862296499402674</x:v>
      </x:c>
      <x:c r="Q130" s="59" t="n">
        <x:v>126</x:v>
      </x:c>
      <x:c r="R130" s="60" t="b">
        <x:v>0</x:v>
      </x:c>
      <x:c r="S130" s="59"/>
      <x:c r="T130" s="63" t="n">
        <x:v>30.862296499402674</x:v>
      </x:c>
    </x:row>
    <x:row r="131" ht="15" hidden="0">
      <x:c r="A131" s="59" t="str">
        <x:v>Peer 067</x:v>
      </x:c>
      <x:c r="B131" s="59" t="str">
        <x:v>Other peer</x:v>
      </x:c>
      <x:c r="C131" s="63" t="n">
        <x:v>12.493973</x:v>
      </x:c>
      <x:c r="D131" s="65" t="n">
        <x:v>0.09649300506732326</x:v>
      </x:c>
      <x:c r="E131" s="65" t="n">
        <x:v>0.013754711971924382</x:v>
      </x:c>
      <x:c r="F131" s="65" t="n">
        <x:v>0.022626349520684895</x:v>
      </x:c>
      <x:c r="G131" s="65" t="n">
        <x:v>0.00008543598480732526</x:v>
      </x:c>
      <x:c r="H131" s="65" t="n">
        <x:v>0.21211792372733176</x:v>
      </x:c>
      <x:c r="I131" s="65" t="n">
        <x:v>0.0013278901697945289</x:v>
      </x:c>
      <x:c r="J131" s="65" t="n">
        <x:v>0.09227030779912057</x:v>
      </x:c>
      <x:c r="K131" s="65" t="n">
        <x:v>0.5469798657718121</x:v>
      </x:c>
      <x:c r="L131" s="65" t="n">
        <x:v>0.5304054054054054</x:v>
      </x:c>
      <x:c r="M131" s="65" t="n">
        <x:v>0.2246552927813782</x:v>
      </x:c>
      <x:c r="N131" s="63" t="n">
        <x:v>36.22755361096422</x:v>
      </x:c>
      <x:c r="O131" s="59" t="n">
        <x:v>122</x:v>
      </x:c>
      <x:c r="P131" s="63" t="n">
        <x:v>30.300652438313</x:v>
      </x:c>
      <x:c r="Q131" s="59" t="n">
        <x:v>127</x:v>
      </x:c>
      <x:c r="R131" s="60" t="b">
        <x:v>0</x:v>
      </x:c>
      <x:c r="S131" s="59"/>
      <x:c r="T131" s="63" t="n">
        <x:v>30.300652438313</x:v>
      </x:c>
    </x:row>
    <x:row r="132" ht="15" hidden="0">
      <x:c r="A132" s="59" t="str">
        <x:v>Peer 037</x:v>
      </x:c>
      <x:c r="B132" s="59" t="str">
        <x:v>Other peer</x:v>
      </x:c>
      <x:c r="C132" s="63" t="n">
        <x:v>12.35438</x:v>
      </x:c>
      <x:c r="D132" s="65" t="n">
        <x:v>0.11105502663832584</x:v>
      </x:c>
      <x:c r="E132" s="65" t="n">
        <x:v>0.017985038504562754</x:v>
      </x:c>
      <x:c r="F132" s="65" t="n">
        <x:v>0.11596219316550081</x:v>
      </x:c>
      <x:c r="G132" s="65" t="n">
        <x:v>0.00008236055556203426</x:v>
      </x:c>
      <x:c r="H132" s="65" t="n">
        <x:v>0.25801324564697437</x:v>
      </x:c>
      <x:c r="I132" s="65" t="n">
        <x:v>0.0025421811885560906</x:v>
      </x:c>
      <x:c r="J132" s="65" t="n">
        <x:v>0.17271464938671605</x:v>
      </x:c>
      <x:c r="K132" s="65" t="n">
        <x:v>0.49664429530201337</x:v>
      </x:c>
      <x:c r="L132" s="65" t="n">
        <x:v>0.25675675675675674</x:v>
      </x:c>
      <x:c r="M132" s="65" t="n">
        <x:v>0.29287837976368264</x:v>
      </x:c>
      <x:c r="N132" s="63" t="n">
        <x:v>31.84253676777881</x:v>
      </x:c>
      <x:c r="O132" s="59" t="n">
        <x:v>129</x:v>
      </x:c>
      <x:c r="P132" s="63" t="n">
        <x:v>29.947067648439518</x:v>
      </x:c>
      <x:c r="Q132" s="59" t="n">
        <x:v>128</x:v>
      </x:c>
      <x:c r="R132" s="60" t="b">
        <x:v>0</x:v>
      </x:c>
      <x:c r="S132" s="59"/>
      <x:c r="T132" s="63" t="n">
        <x:v>29.947067648439518</x:v>
      </x:c>
    </x:row>
    <x:row r="133" ht="15" hidden="0">
      <x:c r="A133" s="59" t="str">
        <x:v>Peer 136</x:v>
      </x:c>
      <x:c r="B133" s="59" t="str">
        <x:v>Other peer</x:v>
      </x:c>
      <x:c r="C133" s="63" t="n">
        <x:v>18.977114</x:v>
      </x:c>
      <x:c r="D133" s="65" t="n">
        <x:v>0.03249329692597094</x:v>
      </x:c>
      <x:c r="E133" s="65" t="n">
        <x:v>0.06817427560376146</x:v>
      </x:c>
      <x:c r="F133" s="65" t="n">
        <x:v>0.867124052687885</x:v>
      </x:c>
      <x:c r="G133" s="65" t="n">
        <x:v>0.0005481415891889612</x:v>
      </x:c>
      <x:c r="H133" s="65" t="n">
        <x:v>0</x:v>
      </x:c>
      <x:c r="I133" s="65" t="n">
        <x:v>0.0006173097078394651</x:v>
      </x:c>
      <x:c r="J133" s="65" t="n">
        <x:v>0.5725063642675307</x:v>
      </x:c>
      <x:c r="K133" s="65" t="n">
        <x:v>0.13758389261744966</x:v>
      </x:c>
      <x:c r="L133" s="65" t="n">
        <x:v>0.41216216216216217</x:v>
      </x:c>
      <x:c r="M133" s="65" t="n">
        <x:v>0.2806557573686855</x:v>
      </x:c>
      <x:c r="N133" s="63" t="n">
        <x:v>41.48807994778799</x:v>
      </x:c>
      <x:c r="O133" s="59" t="n">
        <x:v>107</x:v>
      </x:c>
      <x:c r="P133" s="63" t="n">
        <x:v>29.14939459970269</x:v>
      </x:c>
      <x:c r="Q133" s="59" t="n">
        <x:v>129</x:v>
      </x:c>
      <x:c r="R133" s="60" t="b">
        <x:v>0</x:v>
      </x:c>
      <x:c r="S133" s="59"/>
      <x:c r="T133" s="63" t="n">
        <x:v>29.14939459970269</x:v>
      </x:c>
    </x:row>
    <x:row r="134" ht="15" hidden="0">
      <x:c r="A134" s="59" t="str">
        <x:v>Peer 117</x:v>
      </x:c>
      <x:c r="B134" s="59" t="str">
        <x:v>Other peer</x:v>
      </x:c>
      <x:c r="C134" s="63" t="n">
        <x:v>39.416491</x:v>
      </x:c>
      <x:c r="D134" s="65" t="n">
        <x:v>0.08883018024105697</x:v>
      </x:c>
      <x:c r="E134" s="65" t="n">
        <x:v>0.09867430867958286</x:v>
      </x:c>
      <x:c r="F134" s="65" t="n">
        <x:v>0.10291400622140616</x:v>
      </x:c>
      <x:c r="G134" s="65" t="n">
        <x:v>0.00580772005504125</x:v>
      </x:c>
      <x:c r="H134" s="65" t="n">
        <x:v>0.17337480113510872</x:v>
      </x:c>
      <x:c r="I134" s="65" t="n">
        <x:v>0.03747803964387232</x:v>
      </x:c>
      <x:c r="J134" s="65" t="n">
        <x:v>0.23198333719046516</x:v>
      </x:c>
      <x:c r="K134" s="65" t="n">
        <x:v>0.18120805369127516</x:v>
      </x:c>
      <x:c r="L134" s="65" t="n">
        <x:v>0.9391891891891893</x:v>
      </x:c>
      <x:c r="M134" s="65" t="n">
        <x:v>0.205029873484551</x:v>
      </x:c>
      <x:c r="N134" s="63" t="n">
        <x:v>36.524544907937624</x:v>
      </x:c>
      <x:c r="O134" s="59" t="n">
        <x:v>121</x:v>
      </x:c>
      <x:c r="P134" s="63" t="n">
        <x:v>28.772012057155134</x:v>
      </x:c>
      <x:c r="Q134" s="59" t="n">
        <x:v>130</x:v>
      </x:c>
      <x:c r="R134" s="60" t="b">
        <x:v>0</x:v>
      </x:c>
      <x:c r="S134" s="59"/>
      <x:c r="T134" s="63" t="n">
        <x:v>28.772012057155134</x:v>
      </x:c>
    </x:row>
    <x:row r="135" ht="15" hidden="0">
      <x:c r="A135" s="59" t="str">
        <x:v>Peer 027</x:v>
      </x:c>
      <x:c r="B135" s="59" t="str">
        <x:v>Other peer</x:v>
      </x:c>
      <x:c r="C135" s="63" t="n">
        <x:v>129.592344</x:v>
      </x:c>
      <x:c r="D135" s="65" t="n">
        <x:v>0.08703413837471757</x:v>
      </x:c>
      <x:c r="E135" s="65" t="n">
        <x:v>0.06325812734739947</x:v>
      </x:c>
      <x:c r="F135" s="65" t="n">
        <x:v>0.09451710357210608</x:v>
      </x:c>
      <x:c r="G135" s="65" t="n">
        <x:v>0.005600783334772591</x:v>
      </x:c>
      <x:c r="H135" s="65" t="n">
        <x:v>0.07102582009037697</x:v>
      </x:c>
      <x:c r="I135" s="65" t="n">
        <x:v>0.011395755252953362</x:v>
      </x:c>
      <x:c r="J135" s="65" t="n">
        <x:v>0.20840083314047675</x:v>
      </x:c>
      <x:c r="K135" s="65" t="n">
        <x:v>0.18791946308724833</x:v>
      </x:c>
      <x:c r="L135" s="65" t="n">
        <x:v>0.9290540540540541</x:v>
      </x:c>
      <x:c r="M135" s="65" t="n">
        <x:v>0.19789535788060725</x:v>
      </x:c>
      <x:c r="N135" s="63" t="n">
        <x:v>35.897298341713736</x:v>
      </x:c>
      <x:c r="O135" s="59" t="n">
        <x:v>125</x:v>
      </x:c>
      <x:c r="P135" s="63" t="n">
        <x:v>28.25476270906733</x:v>
      </x:c>
      <x:c r="Q135" s="59" t="n">
        <x:v>131</x:v>
      </x:c>
      <x:c r="R135" s="60" t="b">
        <x:v>0</x:v>
      </x:c>
      <x:c r="S135" s="59"/>
      <x:c r="T135" s="63" t="n">
        <x:v>28.25476270906733</x:v>
      </x:c>
    </x:row>
    <x:row r="136" ht="15" hidden="0">
      <x:c r="A136" s="59" t="str">
        <x:v>Peer 082</x:v>
      </x:c>
      <x:c r="B136" s="59" t="str">
        <x:v>Other peer</x:v>
      </x:c>
      <x:c r="C136" s="63" t="n">
        <x:v>17.664869</x:v>
      </x:c>
      <x:c r="D136" s="65" t="n">
        <x:v>0.09801182222183476</x:v>
      </x:c>
      <x:c r="E136" s="65" t="n">
        <x:v>0.02852067569818944</x:v>
      </x:c>
      <x:c r="F136" s="65" t="n">
        <x:v>0.17822832425193755</x:v>
      </x:c>
      <x:c r="G136" s="65" t="n">
        <x:v>0</x:v>
      </x:c>
      <x:c r="H136" s="65" t="n">
        <x:v>0.09319204389564781</x:v>
      </x:c>
      <x:c r="I136" s="65" t="n">
        <x:v>0.004540127142184552</x:v>
      </x:c>
      <x:c r="J136" s="65" t="n">
        <x:v>0.25740569312659106</x:v>
      </x:c>
      <x:c r="K136" s="65" t="n">
        <x:v>0.36241610738255037</x:v>
      </x:c>
      <x:c r="L136" s="65" t="n">
        <x:v>0.5033783783783784</x:v>
      </x:c>
      <x:c r="M136" s="65" t="n">
        <x:v>0.3054307930138126</x:v>
      </x:c>
      <x:c r="N136" s="63" t="n">
        <x:v>36.1061019309847</x:v>
      </x:c>
      <x:c r="O136" s="59" t="n">
        <x:v>123</x:v>
      </x:c>
      <x:c r="P136" s="63" t="n">
        <x:v>28.062154361749258</x:v>
      </x:c>
      <x:c r="Q136" s="59" t="n">
        <x:v>132</x:v>
      </x:c>
      <x:c r="R136" s="60" t="b">
        <x:v>0</x:v>
      </x:c>
      <x:c r="S136" s="59"/>
      <x:c r="T136" s="63" t="n">
        <x:v>28.062154361749258</x:v>
      </x:c>
    </x:row>
    <x:row r="137" ht="15" hidden="0">
      <x:c r="A137" s="59" t="str">
        <x:v>Peer 110</x:v>
      </x:c>
      <x:c r="B137" s="59" t="str">
        <x:v>Other peer</x:v>
      </x:c>
      <x:c r="C137" s="63" t="n">
        <x:v>42.076662</x:v>
      </x:c>
      <x:c r="D137" s="65" t="n">
        <x:v>0.05859046043148575</x:v>
      </x:c>
      <x:c r="E137" s="65" t="n">
        <x:v>0.03124261615619604</x:v>
      </x:c>
      <x:c r="F137" s="65" t="n">
        <x:v>0.19260746016402155</x:v>
      </x:c>
      <x:c r="G137" s="65" t="n">
        <x:v>0</x:v>
      </x:c>
      <x:c r="H137" s="65" t="n">
        <x:v>0.06183053560271783</x:v>
      </x:c>
      <x:c r="I137" s="65" t="n">
        <x:v>0.0018933541569547093</x:v>
      </x:c>
      <x:c r="J137" s="65" t="n">
        <x:v>0.2943184448044434</x:v>
      </x:c>
      <x:c r="K137" s="65" t="n">
        <x:v>0.32550335570469796</x:v>
      </x:c>
      <x:c r="L137" s="65" t="n">
        <x:v>0.13851351351351351</x:v>
      </x:c>
      <x:c r="M137" s="65" t="n">
        <x:v>0.3095184024087005</x:v>
      </x:c>
      <x:c r="N137" s="63" t="n">
        <x:v>34.55651206445228</x:v>
      </x:c>
      <x:c r="O137" s="59" t="n">
        <x:v>126</x:v>
      </x:c>
      <x:c r="P137" s="63" t="n">
        <x:v>26.87477778190682</x:v>
      </x:c>
      <x:c r="Q137" s="59" t="n">
        <x:v>133</x:v>
      </x:c>
      <x:c r="R137" s="60" t="b">
        <x:v>0</x:v>
      </x:c>
      <x:c r="S137" s="59"/>
      <x:c r="T137" s="63" t="n">
        <x:v>26.87477778190682</x:v>
      </x:c>
    </x:row>
    <x:row r="138" ht="15" hidden="0">
      <x:c r="A138" s="59" t="str">
        <x:v>Peer 131</x:v>
      </x:c>
      <x:c r="B138" s="59" t="str">
        <x:v>Other peer</x:v>
      </x:c>
      <x:c r="C138" s="63" t="n">
        <x:v>25.971989</x:v>
      </x:c>
      <x:c r="D138" s="65" t="n">
        <x:v>0.10949896829233988</x:v>
      </x:c>
      <x:c r="E138" s="65" t="n">
        <x:v>0.10611948126113868</x:v>
      </x:c>
      <x:c r="F138" s="65" t="n">
        <x:v>0.709110688442075</x:v>
      </x:c>
      <x:c r="G138" s="65" t="n">
        <x:v>0</x:v>
      </x:c>
      <x:c r="H138" s="65" t="n">
        <x:v>0.09700374330065167</x:v>
      </x:c>
      <x:c r="I138" s="65" t="n">
        <x:v>0.15949649752816536</x:v>
      </x:c>
      <x:c r="J138" s="65" t="n">
        <x:v>0.5157949548715576</x:v>
      </x:c>
      <x:c r="K138" s="65" t="n">
        <x:v>0.16442953020134227</x:v>
      </x:c>
      <x:c r="L138" s="65" t="n">
        <x:v>0.6722972972972973</x:v>
      </x:c>
      <x:c r="M138" s="65" t="n">
        <x:v>0.2912248651982738</x:v>
      </x:c>
      <x:c r="N138" s="63" t="n">
        <x:v>38.44577388617228</x:v>
      </x:c>
      <x:c r="O138" s="59" t="n">
        <x:v>116</x:v>
      </x:c>
      <x:c r="P138" s="63" t="n">
        <x:v>26.85359545441863</x:v>
      </x:c>
      <x:c r="Q138" s="59" t="n">
        <x:v>134</x:v>
      </x:c>
      <x:c r="R138" s="60" t="b">
        <x:v>0</x:v>
      </x:c>
      <x:c r="S138" s="59"/>
      <x:c r="T138" s="63" t="n">
        <x:v>26.85359545441863</x:v>
      </x:c>
    </x:row>
    <x:row r="139" ht="15" hidden="0">
      <x:c r="A139" s="59" t="str">
        <x:v>Peer 111</x:v>
      </x:c>
      <x:c r="B139" s="59" t="str">
        <x:v>Other peer</x:v>
      </x:c>
      <x:c r="C139" s="63" t="n">
        <x:v>35.996617</x:v>
      </x:c>
      <x:c r="D139" s="65" t="n">
        <x:v>0.09588631620577011</x:v>
      </x:c>
      <x:c r="E139" s="65" t="n">
        <x:v>0.1784537696973024</x:v>
      </x:c>
      <x:c r="F139" s="65" t="n">
        <x:v>0.5299801645249053</x:v>
      </x:c>
      <x:c r="G139" s="65" t="n">
        <x:v>0.0006208745378569775</x:v>
      </x:c>
      <x:c r="H139" s="65" t="n">
        <x:v>0.012142691844850602</x:v>
      </x:c>
      <x:c r="I139" s="65" t="n">
        <x:v>0.01622357474758938</x:v>
      </x:c>
      <x:c r="J139" s="65" t="n">
        <x:v>0.5591761166396667</x:v>
      </x:c>
      <x:c r="K139" s="65" t="n">
        <x:v>0.060402684563758385</x:v>
      </x:c>
      <x:c r="L139" s="65" t="n">
        <x:v>0.9560810810810811</x:v>
      </x:c>
      <x:c r="M139" s="65" t="n">
        <x:v>0.18378176892437714</x:v>
      </x:c>
      <x:c r="N139" s="63" t="n">
        <x:v>41.47841023446049</x:v>
      </x:c>
      <x:c r="O139" s="59" t="n">
        <x:v>108</x:v>
      </x:c>
      <x:c r="P139" s="63" t="n">
        <x:v>26.00892206137501</x:v>
      </x:c>
      <x:c r="Q139" s="59" t="n">
        <x:v>135</x:v>
      </x:c>
      <x:c r="R139" s="60" t="b">
        <x:v>0</x:v>
      </x:c>
      <x:c r="S139" s="59"/>
      <x:c r="T139" s="63" t="n">
        <x:v>26.00892206137501</x:v>
      </x:c>
    </x:row>
    <x:row r="140" ht="15" hidden="0">
      <x:c r="A140" s="59" t="str">
        <x:v>Peer 083</x:v>
      </x:c>
      <x:c r="B140" s="59" t="str">
        <x:v>Other peer</x:v>
      </x:c>
      <x:c r="C140" s="63" t="n">
        <x:v>155.378079</x:v>
      </x:c>
      <x:c r="D140" s="65" t="n">
        <x:v>0.09172067315879223</x:v>
      </x:c>
      <x:c r="E140" s="65" t="n">
        <x:v>0.1624520663561557</x:v>
      </x:c>
      <x:c r="F140" s="65" t="n">
        <x:v>0.013642606560993717</x:v>
      </x:c>
      <x:c r="G140" s="65" t="n">
        <x:v>0.006608341562944562</x:v>
      </x:c>
      <x:c r="H140" s="65" t="n">
        <x:v>0.20704699510477004</x:v>
      </x:c>
      <x:c r="I140" s="65" t="n">
        <x:v>0.0046225517181269086</x:v>
      </x:c>
      <x:c r="J140" s="65" t="n">
        <x:v>0.16841009025688497</x:v>
      </x:c>
      <x:c r="K140" s="65" t="n">
        <x:v>0.14093959731543626</x:v>
      </x:c>
      <x:c r="L140" s="65" t="n">
        <x:v>0.7162162162162162</x:v>
      </x:c>
      <x:c r="M140" s="65" t="n">
        <x:v>0.154063786480346</x:v>
      </x:c>
      <x:c r="N140" s="63" t="n">
        <x:v>28.748483771066347</x:v>
      </x:c>
      <x:c r="O140" s="59" t="n">
        <x:v>134</x:v>
      </x:c>
      <x:c r="P140" s="63" t="n">
        <x:v>24.81544637328925</x:v>
      </x:c>
      <x:c r="Q140" s="59" t="n">
        <x:v>136</x:v>
      </x:c>
      <x:c r="R140" s="60" t="b">
        <x:v>0</x:v>
      </x:c>
      <x:c r="S140" s="59"/>
      <x:c r="T140" s="63" t="n">
        <x:v>24.81544637328925</x:v>
      </x:c>
    </x:row>
    <x:row r="141" ht="15" hidden="0">
      <x:c r="A141" s="59" t="str">
        <x:v>Peer 128</x:v>
      </x:c>
      <x:c r="B141" s="59" t="str">
        <x:v>Other peer</x:v>
      </x:c>
      <x:c r="C141" s="63" t="n">
        <x:v>14.890468</x:v>
      </x:c>
      <x:c r="D141" s="65" t="n">
        <x:v>0.13697695733942009</x:v>
      </x:c>
      <x:c r="E141" s="65" t="n">
        <x:v>0.1629766774288088</x:v>
      </x:c>
      <x:c r="F141" s="65" t="n">
        <x:v>0.006815836815874424</x:v>
      </x:c>
      <x:c r="G141" s="65" t="n">
        <x:v>0.00759933929873297</x:v>
      </x:c>
      <x:c r="H141" s="65" t="n">
        <x:v>0.0776851470880745</x:v>
      </x:c>
      <x:c r="I141" s="65" t="n">
        <x:v>0.03340840435487001</x:v>
      </x:c>
      <x:c r="J141" s="65" t="n">
        <x:v>0.17204350844711874</x:v>
      </x:c>
      <x:c r="K141" s="65" t="n">
        <x:v>0.11073825503355705</x:v>
      </x:c>
      <x:c r="L141" s="65" t="n">
        <x:v>0.9831081081081081</x:v>
      </x:c>
      <x:c r="M141" s="65" t="n">
        <x:v>0.13802825042463213</x:v>
      </x:c>
      <x:c r="N141" s="63" t="n">
        <x:v>26.403946558273443</x:v>
      </x:c>
      <x:c r="O141" s="59" t="n">
        <x:v>137</x:v>
      </x:c>
      <x:c r="P141" s="63" t="n">
        <x:v>23.094180068820272</x:v>
      </x:c>
      <x:c r="Q141" s="59" t="n">
        <x:v>137</x:v>
      </x:c>
      <x:c r="R141" s="60" t="b">
        <x:v>0</x:v>
      </x:c>
      <x:c r="S141" s="59"/>
      <x:c r="T141" s="63" t="n">
        <x:v>23.094180068820272</x:v>
      </x:c>
    </x:row>
    <x:row r="142" ht="15" hidden="0">
      <x:c r="A142" s="59" t="str">
        <x:v>Peer 080</x:v>
      </x:c>
      <x:c r="B142" s="59" t="str">
        <x:v>Other peer</x:v>
      </x:c>
      <x:c r="C142" s="63" t="n">
        <x:v>96.3</x:v>
      </x:c>
      <x:c r="D142" s="65" t="n">
        <x:v>0.11784008307372794</x:v>
      </x:c>
      <x:c r="E142" s="65" t="n">
        <x:v>0.09424714434060229</x:v>
      </x:c>
      <x:c r="F142" s="65" t="n">
        <x:v>0.05035306334371755</x:v>
      </x:c>
      <x:c r="G142" s="65" t="n">
        <x:v>0.0026436376454000705</x:v>
      </x:c>
      <x:c r="H142" s="65" t="n">
        <x:v>0.1107700179073932</x:v>
      </x:c>
      <x:c r="I142" s="65" t="n">
        <x:v>0.017381015290238833</x:v>
      </x:c>
      <x:c r="J142" s="65" t="n">
        <x:v>0.14380930340199027</x:v>
      </x:c>
      <x:c r="K142" s="65" t="n">
        <x:v>0.17785234899328858</x:v>
      </x:c>
      <x:c r="L142" s="65" t="n">
        <x:v>0.9628378378378379</x:v>
      </x:c>
      <x:c r="M142" s="65" t="n">
        <x:v>0.1599275536520599</x:v>
      </x:c>
      <x:c r="N142" s="63" t="n">
        <x:v>29.112020099379244</x:v>
      </x:c>
      <x:c r="O142" s="59" t="n">
        <x:v>133</x:v>
      </x:c>
      <x:c r="P142" s="63" t="n">
        <x:v>22.34032646912694</x:v>
      </x:c>
      <x:c r="Q142" s="59" t="n">
        <x:v>138</x:v>
      </x:c>
      <x:c r="R142" s="60" t="b">
        <x:v>0</x:v>
      </x:c>
      <x:c r="S142" s="59"/>
      <x:c r="T142" s="63" t="n">
        <x:v>22.34032646912694</x:v>
      </x:c>
    </x:row>
    <x:row r="143" ht="15" hidden="0">
      <x:c r="A143" s="59" t="str">
        <x:v>Peer 084</x:v>
      </x:c>
      <x:c r="B143" s="59" t="str">
        <x:v>Other peer</x:v>
      </x:c>
      <x:c r="C143" s="63" t="n">
        <x:v>10.406351</x:v>
      </x:c>
      <x:c r="D143" s="65" t="n">
        <x:v>0.09924689259472412</x:v>
      </x:c>
      <x:c r="E143" s="65" t="n">
        <x:v>0.2740023856585272</x:v>
      </x:c>
      <x:c r="F143" s="65" t="n">
        <x:v>0.12227379222553612</x:v>
      </x:c>
      <x:c r="G143" s="65" t="n">
        <x:v>0</x:v>
      </x:c>
      <x:c r="H143" s="65" t="n">
        <x:v>0.2719775495502037</x:v>
      </x:c>
      <x:c r="I143" s="65" t="n">
        <x:v>0.0038681441286455964</x:v>
      </x:c>
      <x:c r="J143" s="65" t="n">
        <x:v>0.15673455218699375</x:v>
      </x:c>
      <x:c r="K143" s="65" t="n">
        <x:v>0.1342281879194631</x:v>
      </x:c>
      <x:c r="L143" s="65" t="n">
        <x:v>0.5641891891891893</x:v>
      </x:c>
      <x:c r="M143" s="65" t="n">
        <x:v>0.14504549260293714</x:v>
      </x:c>
      <x:c r="N143" s="63" t="n">
        <x:v>24.33291967145491</x:v>
      </x:c>
      <x:c r="O143" s="59" t="n">
        <x:v>140</x:v>
      </x:c>
      <x:c r="P143" s="63" t="n">
        <x:v>20.555632701499253</x:v>
      </x:c>
      <x:c r="Q143" s="59" t="n">
        <x:v>139</x:v>
      </x:c>
      <x:c r="R143" s="60" t="b">
        <x:v>0</x:v>
      </x:c>
      <x:c r="S143" s="59"/>
      <x:c r="T143" s="63" t="n">
        <x:v>20.555632701499253</x:v>
      </x:c>
    </x:row>
    <x:row r="144" ht="15" hidden="0">
      <x:c r="A144" s="59" t="str">
        <x:v>Peer 092</x:v>
      </x:c>
      <x:c r="B144" s="59" t="str">
        <x:v>Other peer</x:v>
      </x:c>
      <x:c r="C144" s="63" t="n">
        <x:v>16.117865</x:v>
      </x:c>
      <x:c r="D144" s="65" t="n">
        <x:v>0.098572112373444</x:v>
      </x:c>
      <x:c r="E144" s="65" t="n">
        <x:v>0.027413184066251952</x:v>
      </x:c>
      <x:c r="F144" s="65" t="n">
        <x:v>0.029127927303026796</x:v>
      </x:c>
      <x:c r="G144" s="65" t="n">
        <x:v>0</x:v>
      </x:c>
      <x:c r="H144" s="65" t="n">
        <x:v>0.038820582036418694</x:v>
      </x:c>
      <x:c r="I144" s="65" t="n">
        <x:v>0.0023603550999308333</x:v>
      </x:c>
      <x:c r="J144" s="65" t="n">
        <x:v>0.059419115945383016</x:v>
      </x:c>
      <x:c r="K144" s="65" t="n">
        <x:v>0.33557046979865773</x:v>
      </x:c>
      <x:c r="L144" s="65" t="n">
        <x:v>0.24662162162162163</x:v>
      </x:c>
      <x:c r="M144" s="65" t="n">
        <x:v>0.14120658856021237</x:v>
      </x:c>
      <x:c r="N144" s="63" t="n">
        <x:v>22.83952451815218</x:v>
      </x:c>
      <x:c r="O144" s="59" t="n">
        <x:v>142</x:v>
      </x:c>
      <x:c r="P144" s="63" t="n">
        <x:v>17.73607579692402</x:v>
      </x:c>
      <x:c r="Q144" s="59" t="n">
        <x:v>140</x:v>
      </x:c>
      <x:c r="R144" s="60" t="b">
        <x:v>0</x:v>
      </x:c>
      <x:c r="S144" s="59"/>
      <x:c r="T144" s="63" t="n">
        <x:v>17.73607579692402</x:v>
      </x:c>
    </x:row>
    <x:row r="145" ht="15" hidden="0">
      <x:c r="A145" s="59" t="str">
        <x:v>Peer 122</x:v>
      </x:c>
      <x:c r="B145" s="59" t="str">
        <x:v>Other peer</x:v>
      </x:c>
      <x:c r="C145" s="63" t="n">
        <x:v>17.893084</x:v>
      </x:c>
      <x:c r="D145" s="65" t="n">
        <x:v>0.0987946516095269</x:v>
      </x:c>
      <x:c r="E145" s="65" t="n">
        <x:v>0.0928104959435724</x:v>
      </x:c>
      <x:c r="F145" s="65" t="n">
        <x:v>0.014287754978403946</x:v>
      </x:c>
      <x:c r="G145" s="65" t="n">
        <x:v>0</x:v>
      </x:c>
      <x:c r="H145" s="65" t="n">
        <x:v>0.12353243227819422</x:v>
      </x:c>
      <x:c r="I145" s="65" t="n">
        <x:v>0.0060838797458434846</x:v>
      </x:c>
      <x:c r="J145" s="65" t="n">
        <x:v>0.049352001851423286</x:v>
      </x:c>
      <x:c r="K145" s="65" t="n">
        <x:v>0.18456375838926176</x:v>
      </x:c>
      <x:c r="L145" s="65" t="n">
        <x:v>0.6587837837837838</x:v>
      </x:c>
      <x:c r="M145" s="65" t="n">
        <x:v>0.09543893830996071</x:v>
      </x:c>
      <x:c r="N145" s="63" t="n">
        <x:v>23.43426191448879</x:v>
      </x:c>
      <x:c r="O145" s="59" t="n">
        <x:v>141</x:v>
      </x:c>
      <x:c r="P145" s="63" t="n">
        <x:v>17.53832601189434</x:v>
      </x:c>
      <x:c r="Q145" s="59" t="n">
        <x:v>141</x:v>
      </x:c>
      <x:c r="R145" s="60" t="b">
        <x:v>0</x:v>
      </x:c>
      <x:c r="S145" s="59"/>
      <x:c r="T145" s="63" t="n">
        <x:v>17.53832601189434</x:v>
      </x:c>
    </x:row>
    <x:row r="146" ht="15" hidden="0">
      <x:c r="A146" s="59" t="str">
        <x:v>Peer 135</x:v>
      </x:c>
      <x:c r="B146" s="59" t="str">
        <x:v>Other peer</x:v>
      </x:c>
      <x:c r="C146" s="63" t="n">
        <x:v>28.714313</x:v>
      </x:c>
      <x:c r="D146" s="65" t="n">
        <x:v>0.08077954015476532</x:v>
      </x:c>
      <x:c r="E146" s="65" t="n">
        <x:v>0.16626728976590874</x:v>
      </x:c>
      <x:c r="F146" s="65" t="n">
        <x:v>0.08156521104997358</x:v>
      </x:c>
      <x:c r="G146" s="65" t="n">
        <x:v>0</x:v>
      </x:c>
      <x:c r="H146" s="65" t="n">
        <x:v>0.05065177610738972</x:v>
      </x:c>
      <x:c r="I146" s="65" t="n">
        <x:v>0.010113453288173596</x:v>
      </x:c>
      <x:c r="J146" s="65" t="n">
        <x:v>0.08290904883128905</x:v>
      </x:c>
      <x:c r="K146" s="65" t="n">
        <x:v>0.08389261744966442</x:v>
      </x:c>
      <x:c r="L146" s="65" t="n">
        <x:v>0.9324324324324325</x:v>
      </x:c>
      <x:c r="M146" s="65" t="n">
        <x:v>0.08339938319147738</x:v>
      </x:c>
      <x:c r="N146" s="63" t="n">
        <x:v>27.89669963658035</x:v>
      </x:c>
      <x:c r="O146" s="59" t="n">
        <x:v>135</x:v>
      </x:c>
      <x:c r="P146" s="63" t="n">
        <x:v>15.512110020391153</x:v>
      </x:c>
      <x:c r="Q146" s="59" t="n">
        <x:v>142</x:v>
      </x:c>
      <x:c r="R146" s="60" t="b">
        <x:v>0</x:v>
      </x:c>
      <x:c r="S146" s="59"/>
      <x:c r="T146" s="63" t="n">
        <x:v>15.512110020391153</x:v>
      </x:c>
    </x:row>
    <x:row r="147" ht="15" hidden="0">
      <x:c r="A147" s="59" t="str">
        <x:v>Peer 124</x:v>
      </x:c>
      <x:c r="B147" s="59" t="str">
        <x:v>Other peer</x:v>
      </x:c>
      <x:c r="C147" s="63" t="n">
        <x:v>37.462</x:v>
      </x:c>
      <x:c r="D147" s="65" t="n">
        <x:v>0.14948481127542576</x:v>
      </x:c>
      <x:c r="E147" s="65" t="n">
        <x:v>0.14347872510810955</x:v>
      </x:c>
      <x:c r="F147" s="65" t="n">
        <x:v>0.003550264267791362</x:v>
      </x:c>
      <x:c r="G147" s="65" t="n">
        <x:v>0</x:v>
      </x:c>
      <x:c r="H147" s="65" t="n">
        <x:v>0.058471714044469464</x:v>
      </x:c>
      <x:c r="I147" s="65" t="n">
        <x:v>0.012326234335410533</x:v>
      </x:c>
      <x:c r="J147" s="65" t="n">
        <x:v>0.032573478361490396</x:v>
      </x:c>
      <x:c r="K147" s="65" t="n">
        <x:v>0.10738255033557048</x:v>
      </x:c>
      <x:c r="L147" s="65" t="n">
        <x:v>0.9189189189189189</x:v>
      </x:c>
      <x:c r="M147" s="65" t="n">
        <x:v>0.05914239748063447</x:v>
      </x:c>
      <x:c r="N147" s="63" t="n">
        <x:v>19.42132474483616</x:v>
      </x:c>
      <x:c r="O147" s="59" t="n">
        <x:v>143</x:v>
      </x:c>
      <x:c r="P147" s="63" t="n">
        <x:v>11.84392021141395</x:v>
      </x:c>
      <x:c r="Q147" s="59" t="n">
        <x:v>143</x:v>
      </x:c>
      <x:c r="R147" s="60" t="b">
        <x:v>0</x:v>
      </x:c>
      <x:c r="S147" s="59"/>
      <x:c r="T147" s="63" t="n">
        <x:v>11.84392021141395</x:v>
      </x:c>
    </x:row>
    <x:row r="148" ht="15" hidden="0">
      <x:c r="A148" s="59" t="str">
        <x:v>Peer 077</x:v>
      </x:c>
      <x:c r="B148" s="59" t="str">
        <x:v>Other peer</x:v>
      </x:c>
      <x:c r="C148" s="63" t="n">
        <x:v>18.204</x:v>
      </x:c>
      <x:c r="D148" s="65" t="n">
        <x:v>0.12601626016260162</x:v>
      </x:c>
      <x:c r="E148" s="65" t="n">
        <x:v>0.2769720940452648</x:v>
      </x:c>
      <x:c r="F148" s="65" t="n">
        <x:v>0</x:v>
      </x:c>
      <x:c r="G148" s="65" t="n">
        <x:v>0</x:v>
      </x:c>
      <x:c r="H148" s="65" t="n">
        <x:v>0.02574370709382151</x:v>
      </x:c>
      <x:c r="I148" s="65" t="n">
        <x:v>0.0075118810363329755</x:v>
      </x:c>
      <x:c r="J148" s="65" t="n">
        <x:v>0.029217773663503817</x:v>
      </x:c>
      <x:c r="K148" s="65" t="n">
        <x:v>0.040268456375838924</x:v>
      </x:c>
      <x:c r="L148" s="65" t="n">
        <x:v>0.75</x:v>
      </x:c>
      <x:c r="M148" s="65" t="n">
        <x:v>0.03430094232186543</x:v>
      </x:c>
      <x:c r="N148" s="63" t="n">
        <x:v>15.642204484284125</x:v>
      </x:c>
      <x:c r="O148" s="59" t="n">
        <x:v>144</x:v>
      </x:c>
      <x:c r="P148" s="63" t="n">
        <x:v>8.329272722854805</x:v>
      </x:c>
      <x:c r="Q148" s="59" t="n">
        <x:v>144</x:v>
      </x:c>
      <x:c r="R148" s="60" t="b">
        <x:v>0</x:v>
      </x:c>
      <x:c r="S148" s="59"/>
      <x:c r="T148" s="63" t="n">
        <x:v>8.329272722854805</x:v>
      </x:c>
    </x:row>
    <x:row r="149" ht="15" hidden="0">
      <x:c r="A149" s="59" t="str">
        <x:v>Peer 105</x:v>
      </x:c>
      <x:c r="B149" s="59" t="str">
        <x:v>Other peer</x:v>
      </x:c>
      <x:c r="C149" s="63" t="n">
        <x:v>55.267334</x:v>
      </x:c>
      <x:c r="D149" s="65"/>
      <x:c r="E149" s="65" t="n">
        <x:v>0.5654832382542643</x:v>
      </x:c>
      <x:c r="F149" s="65" t="n">
        <x:v>0.10098837045405519</x:v>
      </x:c>
      <x:c r="G149" s="65"/>
      <x:c r="H149" s="65" t="n">
        <x:v>0.3824566903429769</x:v>
      </x:c>
      <x:c r="I149" s="65" t="n">
        <x:v>0.013088409269095935</x:v>
      </x:c>
      <x:c r="J149" s="65" t="n">
        <x:v>0.16778523489932887</x:v>
      </x:c>
      <x:c r="K149" s="65" t="n">
        <x:v>0.21476510067114093</x:v>
      </x:c>
      <x:c r="L149" s="65" t="n">
        <x:v>0.4695945945945946</x:v>
      </x:c>
      <x:c r="M149" s="65" t="n">
        <x:v>0.18982732380846914</x:v>
      </x:c>
      <x:c r="N149" s="63"/>
      <x:c r="O149" s="59"/>
      <x:c r="P149" s="63"/>
      <x:c r="Q149" s="59"/>
      <x:c r="R149" s="60" t="b">
        <x:v>0</x:v>
      </x:c>
      <x:c r="S149" s="59"/>
      <x:c r="T149" s="63"/>
    </x:row>
    <x:row r="150" ht="15" hidden="0">
      <x:c r="A150" s="59" t="str">
        <x:v>Peer 108</x:v>
      </x:c>
      <x:c r="B150" s="59" t="str">
        <x:v>Other peer</x:v>
      </x:c>
      <x:c r="C150" s="63" t="n">
        <x:v>52.969707</x:v>
      </x:c>
      <x:c r="D150" s="65"/>
      <x:c r="E150" s="65" t="n">
        <x:v>0.37330068674912625</x:v>
      </x:c>
      <x:c r="F150" s="65" t="n">
        <x:v>0.18867761530189323</x:v>
      </x:c>
      <x:c r="G150" s="65"/>
      <x:c r="H150" s="65" t="n">
        <x:v>0</x:v>
      </x:c>
      <x:c r="I150" s="65" t="n">
        <x:v>0.0002811101551503025</x:v>
      </x:c>
      <x:c r="J150" s="65" t="n">
        <x:v>0.5234899328859061</x:v>
      </x:c>
      <x:c r="K150" s="65" t="n">
        <x:v>0.020134228187919462</x:v>
      </x:c>
      <x:c r="L150" s="65" t="n">
        <x:v>0.033783783783783786</x:v>
      </x:c>
      <x:c r="M150" s="65" t="n">
        <x:v>0.10266482242133124</x:v>
      </x:c>
      <x:c r="N150" s="63"/>
      <x:c r="O150" s="59"/>
      <x:c r="P150" s="63"/>
      <x:c r="Q150" s="59"/>
      <x:c r="R150" s="60" t="b">
        <x:v>0</x:v>
      </x:c>
      <x:c r="S150" s="59"/>
      <x:c r="T150" s="63"/>
    </x:row>
    <x:row r="151" ht="15" hidden="0">
      <x:c r="A151" s="59" t="str">
        <x:v>Peer 107</x:v>
      </x:c>
      <x:c r="B151" s="59" t="str">
        <x:v>Other peer</x:v>
      </x:c>
      <x:c r="C151" s="63" t="n">
        <x:v>15.842594</x:v>
      </x:c>
      <x:c r="D151" s="65"/>
      <x:c r="E151" s="65" t="n">
        <x:v>0.24267143373111752</x:v>
      </x:c>
      <x:c r="F151" s="65" t="n">
        <x:v>0.010658986779564002</x:v>
      </x:c>
      <x:c r="G151" s="65"/>
      <x:c r="H151" s="65" t="n">
        <x:v>0</x:v>
      </x:c>
      <x:c r="I151" s="65" t="n">
        <x:v>0</x:v>
      </x:c>
      <x:c r="J151" s="65" t="n">
        <x:v>0.03355704697986577</x:v>
      </x:c>
      <x:c r="K151" s="65" t="n">
        <x:v>0.03355704697986577</x:v>
      </x:c>
      <x:c r="L151" s="65" t="n">
        <x:v>0.018581081081081082</x:v>
      </x:c>
      <x:c r="M151" s="65" t="n">
        <x:v>0.03355704697986577</x:v>
      </x:c>
      <x:c r="N151" s="63"/>
      <x:c r="O151" s="59"/>
      <x:c r="P151" s="63"/>
      <x:c r="Q151" s="59"/>
      <x:c r="R151" s="60" t="b">
        <x:v>0</x:v>
      </x:c>
      <x:c r="S151" s="59"/>
      <x:c r="T151" s="63"/>
    </x:row>
    <x:row r="152" ht="15" hidden="0">
      <x:c r="A152" s="59" t="str">
        <x:v>Peer 106</x:v>
      </x:c>
      <x:c r="B152" s="59" t="str">
        <x:v>Other peer</x:v>
      </x:c>
      <x:c r="C152" s="63" t="n">
        <x:v>14.17268</x:v>
      </x:c>
      <x:c r="D152" s="65"/>
      <x:c r="E152" s="65" t="n">
        <x:v>0.12084877383811672</x:v>
      </x:c>
      <x:c r="F152" s="65" t="n">
        <x:v>0.06339979453427298</x:v>
      </x:c>
      <x:c r="G152" s="65"/>
      <x:c r="H152" s="65" t="n">
        <x:v>0.02876054517363362</x:v>
      </x:c>
      <x:c r="I152" s="65" t="n">
        <x:v>0</x:v>
      </x:c>
      <x:c r="J152" s="65" t="n">
        <x:v>0.087248322147651</x:v>
      </x:c>
      <x:c r="K152" s="65" t="n">
        <x:v>0.10402684563758388</x:v>
      </x:c>
      <x:c r="L152" s="65" t="n">
        <x:v>0.018581081081081082</x:v>
      </x:c>
      <x:c r="M152" s="65" t="n">
        <x:v>0.09526892326562676</x:v>
      </x:c>
      <x:c r="N152" s="63"/>
      <x:c r="O152" s="59"/>
      <x:c r="P152" s="63"/>
      <x:c r="Q152" s="59"/>
      <x:c r="R152" s="60" t="b">
        <x:v>0</x:v>
      </x:c>
      <x:c r="S152" s="59"/>
      <x:c r="T152" s="63"/>
    </x:row>
    <x:row r="153" ht="15" hidden="0">
      <x:c r="A153" s="61" t="str">
        <x:v>Peer 141</x:v>
      </x:c>
      <x:c r="B153" s="61" t="str">
        <x:v>Other peer</x:v>
      </x:c>
      <x:c r="C153" s="64" t="n">
        <x:v>13.041</x:v>
      </x:c>
      <x:c r="D153" s="66" t="n">
        <x:v>0.020243846330802853</x:v>
      </x:c>
      <x:c r="E153" s="66" t="n">
        <x:v>0.1547427344528794</x:v>
      </x:c>
      <x:c r="F153" s="66" t="n">
        <x:v>0.82110267617514</x:v>
      </x:c>
      <x:c r="G153" s="66" t="n">
        <x:v>1.1553030303030303</x:v>
      </x:c>
      <x:c r="H153" s="66" t="n">
        <x:v>0.05745231928420061</x:v>
      </x:c>
      <x:c r="I153" s="66"/>
      <x:c r="J153" s="66" t="n">
        <x:v>0.9898403147419579</x:v>
      </x:c>
      <x:c r="K153" s="66" t="n">
        <x:v>0.10067114093959731</x:v>
      </x:c>
      <x:c r="L153" s="66"/>
      <x:c r="M153" s="66" t="n">
        <x:v>0.31567127495716646</x:v>
      </x:c>
      <x:c r="N153" s="64"/>
      <x:c r="O153" s="61"/>
      <x:c r="P153" s="64"/>
      <x:c r="Q153" s="61"/>
      <x:c r="R153" s="62" t="b">
        <x:v>0</x:v>
      </x:c>
      <x:c r="S153" s="61"/>
      <x:c r="T153" s="64"/>
    </x:row>
    <x:row r="154" ht="15" hidden="0">
      <x:c r="A154"/>
      <x:c r="B154"/>
      <x:c r="C154"/>
      <x:c r="D154"/>
      <x:c r="E154"/>
      <x:c r="F154"/>
      <x:c r="G154"/>
      <x:c r="H154"/>
      <x:c r="I154"/>
      <x:c r="J154"/>
      <x:c r="K154"/>
      <x:c r="L154"/>
      <x:c r="M154"/>
      <x:c r="N154"/>
      <x:c r="O154"/>
      <x:c r="P154"/>
      <x:c r="Q154"/>
      <x:c r="R154"/>
      <x:c r="S154"/>
      <x:c r="T154"/>
    </x:row>
    <x:row r="155" ht="15" hidden="0">
      <x:c r="A155"/>
      <x:c r="B155"/>
      <x:c r="C155"/>
      <x:c r="D155"/>
      <x:c r="E155"/>
      <x:c r="F155"/>
      <x:c r="G155"/>
      <x:c r="H155"/>
      <x:c r="I155"/>
      <x:c r="J155"/>
      <x:c r="K155"/>
      <x:c r="L155"/>
      <x:c r="M155"/>
      <x:c r="N155"/>
      <x:c r="O155"/>
      <x:c r="P155"/>
      <x:c r="Q155"/>
      <x:c r="R155"/>
      <x:c r="S155"/>
      <x:c r="T155"/>
    </x:row>
    <x:row r="156" ht="15" hidden="0">
      <x:c r="A156"/>
      <x:c r="B156"/>
      <x:c r="C156"/>
      <x:c r="D156"/>
      <x:c r="E156"/>
      <x:c r="F156"/>
      <x:c r="G156"/>
      <x:c r="H156"/>
      <x:c r="I156"/>
      <x:c r="J156"/>
      <x:c r="K156"/>
      <x:c r="L156"/>
      <x:c r="M156"/>
      <x:c r="N156"/>
      <x:c r="O156"/>
      <x:c r="P156"/>
      <x:c r="Q156"/>
      <x:c r="R156"/>
      <x:c r="S156"/>
      <x:c r="T156"/>
    </x:row>
    <x:row r="157" ht="15" hidden="0">
      <x:c r="A157"/>
      <x:c r="B157"/>
      <x:c r="C157"/>
      <x:c r="D157"/>
      <x:c r="E157"/>
      <x:c r="F157"/>
      <x:c r="G157"/>
      <x:c r="H157"/>
      <x:c r="I157"/>
      <x:c r="J157"/>
      <x:c r="K157"/>
      <x:c r="L157"/>
      <x:c r="M157"/>
      <x:c r="N157"/>
      <x:c r="O157"/>
      <x:c r="P157"/>
      <x:c r="Q157"/>
      <x:c r="R157"/>
      <x:c r="S157"/>
      <x:c r="T157"/>
    </x:row>
    <x:row r="158" ht="15" hidden="0">
      <x:c r="A158"/>
      <x:c r="B158"/>
      <x:c r="C158"/>
      <x:c r="D158"/>
      <x:c r="E158"/>
      <x:c r="F158"/>
      <x:c r="G158"/>
      <x:c r="H158"/>
      <x:c r="I158"/>
      <x:c r="J158"/>
      <x:c r="K158"/>
      <x:c r="L158"/>
      <x:c r="M158"/>
      <x:c r="N158"/>
      <x:c r="O158"/>
      <x:c r="P158"/>
      <x:c r="Q158"/>
      <x:c r="R158"/>
      <x:c r="S158"/>
      <x:c r="T158"/>
    </x:row>
    <x:row r="159" ht="15" hidden="0">
      <x:c r="A159"/>
      <x:c r="B159"/>
      <x:c r="C159"/>
      <x:c r="D159"/>
      <x:c r="E159"/>
      <x:c r="F159"/>
      <x:c r="G159"/>
      <x:c r="H159"/>
      <x:c r="I159"/>
      <x:c r="J159"/>
      <x:c r="K159"/>
      <x:c r="L159"/>
      <x:c r="M159"/>
      <x:c r="N159"/>
      <x:c r="O159"/>
      <x:c r="P159"/>
      <x:c r="Q159"/>
      <x:c r="R159"/>
      <x:c r="S159"/>
      <x:c r="T159"/>
    </x:row>
    <x:row r="160" ht="15" hidden="0">
      <x:c r="A160"/>
      <x:c r="B160"/>
      <x:c r="C160"/>
      <x:c r="D160"/>
      <x:c r="E160"/>
      <x:c r="F160"/>
      <x:c r="G160"/>
      <x:c r="H160"/>
      <x:c r="I160"/>
      <x:c r="J160"/>
      <x:c r="K160"/>
      <x:c r="L160"/>
      <x:c r="M160"/>
      <x:c r="N160"/>
      <x:c r="O160"/>
      <x:c r="P160"/>
      <x:c r="Q160"/>
      <x:c r="R160"/>
      <x:c r="S160"/>
      <x:c r="T160"/>
    </x:row>
    <x:row r="161" ht="15" hidden="0">
      <x:c r="A161"/>
      <x:c r="B161"/>
      <x:c r="C161"/>
      <x:c r="D161"/>
      <x:c r="E161"/>
      <x:c r="F161"/>
      <x:c r="G161"/>
      <x:c r="H161"/>
      <x:c r="I161"/>
      <x:c r="J161"/>
      <x:c r="K161"/>
      <x:c r="L161"/>
      <x:c r="M161"/>
      <x:c r="N161"/>
      <x:c r="O161"/>
      <x:c r="P161"/>
      <x:c r="Q161"/>
      <x:c r="R161"/>
      <x:c r="S161"/>
      <x:c r="T161"/>
    </x:row>
    <x:row r="162" ht="15" hidden="0">
      <x:c r="A162"/>
      <x:c r="B162"/>
      <x:c r="C162"/>
      <x:c r="D162"/>
      <x:c r="E162"/>
      <x:c r="F162"/>
      <x:c r="G162"/>
      <x:c r="H162"/>
      <x:c r="I162"/>
      <x:c r="J162"/>
      <x:c r="K162"/>
      <x:c r="L162"/>
      <x:c r="M162"/>
      <x:c r="N162"/>
      <x:c r="O162"/>
      <x:c r="P162"/>
      <x:c r="Q162"/>
      <x:c r="R162"/>
      <x:c r="S162"/>
      <x:c r="T162"/>
    </x:row>
    <x:row r="163" ht="15" hidden="0">
      <x:c r="A163"/>
      <x:c r="B163"/>
      <x:c r="C163"/>
      <x:c r="D163"/>
      <x:c r="E163"/>
      <x:c r="F163"/>
      <x:c r="G163"/>
      <x:c r="H163"/>
      <x:c r="I163"/>
      <x:c r="J163"/>
      <x:c r="K163"/>
      <x:c r="L163"/>
      <x:c r="M163"/>
      <x:c r="N163"/>
      <x:c r="O163"/>
      <x:c r="P163"/>
      <x:c r="Q163"/>
      <x:c r="R163"/>
      <x:c r="S163"/>
      <x:c r="T163"/>
    </x:row>
    <x:row r="164" ht="15" hidden="0">
      <x:c r="A164"/>
      <x:c r="B164"/>
      <x:c r="C164"/>
      <x:c r="D164"/>
      <x:c r="E164"/>
      <x:c r="F164"/>
      <x:c r="G164"/>
      <x:c r="H164"/>
      <x:c r="I164"/>
      <x:c r="J164"/>
      <x:c r="K164"/>
      <x:c r="L164"/>
      <x:c r="M164"/>
      <x:c r="N164"/>
      <x:c r="O164"/>
      <x:c r="P164"/>
      <x:c r="Q164"/>
      <x:c r="R164"/>
      <x:c r="S164"/>
      <x:c r="T164"/>
    </x:row>
    <x:row r="165" ht="15" hidden="0">
      <x:c r="A165"/>
      <x:c r="B165"/>
      <x:c r="C165"/>
      <x:c r="D165"/>
      <x:c r="E165"/>
      <x:c r="F165"/>
      <x:c r="G165"/>
      <x:c r="H165"/>
      <x:c r="I165"/>
      <x:c r="J165"/>
      <x:c r="K165"/>
      <x:c r="L165"/>
      <x:c r="M165"/>
      <x:c r="N165"/>
      <x:c r="O165"/>
      <x:c r="P165"/>
      <x:c r="Q165"/>
      <x:c r="R165"/>
      <x:c r="S165"/>
      <x:c r="T165"/>
    </x:row>
  </x:sheetData>
  <x:mergeCells>
    <x:mergeCell ref="A1:T1"/>
    <x:mergeCell ref="A2:T2"/>
  </x:mergeCells>
  <x:conditionalFormatting sqref="P154:P165">
    <x:cfRule type="colorScale" priority="2">
      <x:colorScale>
        <x:cfvo type="min" val="0"/>
        <x:cfvo type="percentile" val="50"/>
        <x:cfvo type="max" val="0"/>
        <x:color rgb="FF63BE7B"/>
        <x:color rgb="FFFFEB84"/>
        <x:color rgb="FFF8696B"/>
      </x:colorScale>
    </x:cfRule>
  </x:conditionalFormatting>
  <x:conditionalFormatting sqref="R154:R165">
    <x:cfRule type="expression" dxfId="124" priority="3" aboveAverage="0" percent="0" bottom="0" rank="0" equalAverage="0">
      <x:formula>R154=1</x:formula>
    </x:cfRule>
  </x:conditionalFormatting>
  <x:conditionalFormatting sqref="P5:P153">
    <x:cfRule type="colorScale" priority="4">
      <x:colorScale>
        <x:cfvo type="min"/>
        <x:cfvo type="percentile" val="50"/>
        <x:cfvo type="max"/>
        <x:color rgb="FF63BE7B"/>
        <x:color rgb="FFFFEB84"/>
        <x:color rgb="FFF8696B"/>
      </x:colorScale>
    </x:cfRule>
  </x:conditionalFormatting>
  <x:conditionalFormatting sqref="R5:R153">
    <x:cfRule type="expression" dxfId="125" priority="5">
      <x:formula>R5=TRUE</x:formula>
    </x:cfRule>
  </x:conditionalFormatting>
  <x:pageMargins left="0.7" right="0.7" top="0.75" bottom="0.75" header="0.3" footer="0.3"/>
  <x:tableParts count="1">
    <x:tablePart xmlns:r="http://schemas.openxmlformats.org/officeDocument/2006/relationships" r:id="R7fca1db1e57a4c3d"/>
  </x:tableParts>
</x:worksheet>
</file>

<file path=xl/worksheets/sheet11.xml><?xml version="1.0" encoding="utf-8"?>
<x:worksheet xmlns:x="http://schemas.openxmlformats.org/spreadsheetml/2006/main">
  <x:sheetPr>
    <x:tabColor rgb="FFF4B183"/>
  </x:sheetPr>
  <x:sheetViews>
    <x:sheetView showGridLines="0" workbookViewId="0">
      <x:pane ySplit="4" topLeftCell="A5" activePane="bottomLeft" state="frozen"/>
    </x:sheetView>
  </x:sheetViews>
  <x:sheetFormatPr defaultColWidth="8.6796875" defaultRowHeight="15"/>
  <x:cols>
    <x:col min="1" max="2" width="28" style="1" hidden="0" customWidth="1"/>
    <x:col min="3" max="5" width="14" style="1" hidden="0" customWidth="1"/>
  </x:cols>
  <x:sheetData>
    <x:row r="1" ht="31.5" hidden="0" customHeight="1">
      <x:c r="A1" s="9" t="s">
        <x:v>58</x:v>
      </x:c>
      <x:c r="B1" s="9"/>
      <x:c r="C1" s="9"/>
      <x:c r="D1" s="9"/>
      <x:c r="E1" s="9"/>
    </x:row>
    <x:row r="2" ht="33.75" hidden="0" customHeight="1">
      <x:c r="A2" s="10" t="s">
        <x:v>59</x:v>
      </x:c>
      <x:c r="B2" s="10"/>
      <x:c r="C2" s="10"/>
      <x:c r="D2" s="10"/>
      <x:c r="E2" s="10"/>
    </x:row>
    <x:row r="4" ht="34" hidden="0" customHeight="1">
      <x:c r="A4" s="52" t="str">
        <x:v>Scenario</x:v>
      </x:c>
      <x:c r="B4" s="53" t="str">
        <x:v>Institution</x:v>
      </x:c>
      <x:c r="C4" s="53" t="str">
        <x:v>Rank</x:v>
      </x:c>
      <x:c r="D4" s="53" t="str">
        <x:v>Top decile</x:v>
      </x:c>
      <x:c r="E4" s="54" t="str">
        <x:v>Score</x:v>
      </x:c>
    </x:row>
    <x:row r="5" ht="15" hidden="0">
      <x:c r="A5" s="59" t="str">
        <x:v>Base interaction-aware</x:v>
      </x:c>
      <x:c r="B5" s="59" t="str">
        <x:v>SILICON VALLEY BANK</x:v>
      </x:c>
      <x:c r="C5" s="59" t="n">
        <x:v>4</x:v>
      </x:c>
      <x:c r="D5" s="60" t="b">
        <x:v>1</x:v>
      </x:c>
      <x:c r="E5" s="63" t="n">
        <x:v>72.84882010207068</x:v>
      </x:c>
    </x:row>
    <x:row r="6" ht="15" hidden="0">
      <x:c r="A6" s="59" t="str">
        <x:v>Base interaction-aware</x:v>
      </x:c>
      <x:c r="B6" s="59" t="str">
        <x:v>FIRST REPUBLIC BANK</x:v>
      </x:c>
      <x:c r="C6" s="59" t="n">
        <x:v>28</x:v>
      </x:c>
      <x:c r="D6" s="60" t="b">
        <x:v>0</x:v>
      </x:c>
      <x:c r="E6" s="63" t="n">
        <x:v>64.2688997505072</x:v>
      </x:c>
    </x:row>
    <x:row r="7" ht="15" hidden="0">
      <x:c r="A7" s="59" t="str">
        <x:v>Base interaction-aware</x:v>
      </x:c>
      <x:c r="B7" s="59" t="str">
        <x:v>SIGNATURE BANK</x:v>
      </x:c>
      <x:c r="C7" s="59" t="n">
        <x:v>27</x:v>
      </x:c>
      <x:c r="D7" s="60" t="b">
        <x:v>0</x:v>
      </x:c>
      <x:c r="E7" s="63" t="n">
        <x:v>64.57248318845261</x:v>
      </x:c>
    </x:row>
    <x:row r="8" ht="15" hidden="0">
      <x:c r="A8" s="59" t="str">
        <x:v>Equal dimensions</x:v>
      </x:c>
      <x:c r="B8" s="59" t="str">
        <x:v>SILICON VALLEY BANK</x:v>
      </x:c>
      <x:c r="C8" s="59" t="n">
        <x:v>10</x:v>
      </x:c>
      <x:c r="D8" s="60" t="b">
        <x:v>1</x:v>
      </x:c>
      <x:c r="E8" s="63" t="n">
        <x:v>68.8309714167024</x:v>
      </x:c>
    </x:row>
    <x:row r="9" ht="15" hidden="0">
      <x:c r="A9" s="59" t="str">
        <x:v>Equal dimensions</x:v>
      </x:c>
      <x:c r="B9" s="59" t="str">
        <x:v>FIRST REPUBLIC BANK</x:v>
      </x:c>
      <x:c r="C9" s="59" t="n">
        <x:v>40</x:v>
      </x:c>
      <x:c r="D9" s="60" t="b">
        <x:v>0</x:v>
      </x:c>
      <x:c r="E9" s="63" t="n">
        <x:v>59.21548801965112</x:v>
      </x:c>
    </x:row>
    <x:row r="10" ht="15" hidden="0">
      <x:c r="A10" s="59" t="str">
        <x:v>Equal dimensions</x:v>
      </x:c>
      <x:c r="B10" s="59" t="str">
        <x:v>SIGNATURE BANK</x:v>
      </x:c>
      <x:c r="C10" s="59" t="n">
        <x:v>32</x:v>
      </x:c>
      <x:c r="D10" s="60" t="b">
        <x:v>0</x:v>
      </x:c>
      <x:c r="E10" s="63" t="n">
        <x:v>62.16073820549772</x:v>
      </x:c>
    </x:row>
    <x:row r="11" ht="15" hidden="0">
      <x:c r="A11" s="59" t="str">
        <x:v>Rate dominant</x:v>
      </x:c>
      <x:c r="B11" s="59" t="str">
        <x:v>SILICON VALLEY BANK</x:v>
      </x:c>
      <x:c r="C11" s="59" t="n">
        <x:v>3</x:v>
      </x:c>
      <x:c r="D11" s="60" t="b">
        <x:v>1</x:v>
      </x:c>
      <x:c r="E11" s="63" t="n">
        <x:v>78.70386296097419</x:v>
      </x:c>
    </x:row>
    <x:row r="12" ht="15" hidden="0">
      <x:c r="A12" s="59" t="str">
        <x:v>Rate dominant</x:v>
      </x:c>
      <x:c r="B12" s="59" t="str">
        <x:v>FIRST REPUBLIC BANK</x:v>
      </x:c>
      <x:c r="C12" s="59" t="n">
        <x:v>30</x:v>
      </x:c>
      <x:c r="D12" s="60" t="b">
        <x:v>0</x:v>
      </x:c>
      <x:c r="E12" s="63" t="n">
        <x:v>65.29499822081426</x:v>
      </x:c>
    </x:row>
    <x:row r="13" ht="15" hidden="0">
      <x:c r="A13" s="59" t="str">
        <x:v>Rate dominant</x:v>
      </x:c>
      <x:c r="B13" s="59" t="str">
        <x:v>SIGNATURE BANK</x:v>
      </x:c>
      <x:c r="C13" s="59" t="n">
        <x:v>24</x:v>
      </x:c>
      <x:c r="D13" s="60" t="b">
        <x:v>0</x:v>
      </x:c>
      <x:c r="E13" s="63" t="n">
        <x:v>66.5444098252218</x:v>
      </x:c>
    </x:row>
    <x:row r="14" ht="15" hidden="0">
      <x:c r="A14" s="59" t="str">
        <x:v>Funding dominant</x:v>
      </x:c>
      <x:c r="B14" s="59" t="str">
        <x:v>SILICON VALLEY BANK</x:v>
      </x:c>
      <x:c r="C14" s="59" t="n">
        <x:v>8</x:v>
      </x:c>
      <x:c r="D14" s="60" t="b">
        <x:v>1</x:v>
      </x:c>
      <x:c r="E14" s="63" t="n">
        <x:v>71.99800783484598</x:v>
      </x:c>
    </x:row>
    <x:row r="15" ht="15" hidden="0">
      <x:c r="A15" s="59" t="str">
        <x:v>Funding dominant</x:v>
      </x:c>
      <x:c r="B15" s="59" t="str">
        <x:v>FIRST REPUBLIC BANK</x:v>
      </x:c>
      <x:c r="C15" s="59" t="n">
        <x:v>16</x:v>
      </x:c>
      <x:c r="D15" s="60" t="b">
        <x:v>0</x:v>
      </x:c>
      <x:c r="E15" s="63" t="n">
        <x:v>69.80830532565112</x:v>
      </x:c>
    </x:row>
    <x:row r="16" ht="15" hidden="0">
      <x:c r="A16" s="59" t="str">
        <x:v>Funding dominant</x:v>
      </x:c>
      <x:c r="B16" s="59" t="str">
        <x:v>SIGNATURE BANK</x:v>
      </x:c>
      <x:c r="C16" s="59" t="n">
        <x:v>26</x:v>
      </x:c>
      <x:c r="D16" s="60" t="b">
        <x:v>0</x:v>
      </x:c>
      <x:c r="E16" s="63" t="n">
        <x:v>65.81124620568927</x:v>
      </x:c>
    </x:row>
    <x:row r="17" ht="15" hidden="0">
      <x:c r="A17" s="59" t="str">
        <x:v>Credit dominant</x:v>
      </x:c>
      <x:c r="B17" s="59" t="str">
        <x:v>SILICON VALLEY BANK</x:v>
      </x:c>
      <x:c r="C17" s="59" t="n">
        <x:v>23</x:v>
      </x:c>
      <x:c r="D17" s="60" t="b">
        <x:v>0</x:v>
      </x:c>
      <x:c r="E17" s="63" t="n">
        <x:v>62.48745792990081</x:v>
      </x:c>
    </x:row>
    <x:row r="18" ht="15" hidden="0">
      <x:c r="A18" s="59" t="str">
        <x:v>Credit dominant</x:v>
      </x:c>
      <x:c r="B18" s="59" t="str">
        <x:v>FIRST REPUBLIC BANK</x:v>
      </x:c>
      <x:c r="C18" s="59" t="n">
        <x:v>74</x:v>
      </x:c>
      <x:c r="D18" s="60" t="b">
        <x:v>0</x:v>
      </x:c>
      <x:c r="E18" s="63" t="n">
        <x:v>50.96551339724815</x:v>
      </x:c>
    </x:row>
    <x:row r="19" ht="15" hidden="0">
      <x:c r="A19" s="61" t="str">
        <x:v>Credit dominant</x:v>
      </x:c>
      <x:c r="B19" s="61" t="str">
        <x:v>SIGNATURE BANK</x:v>
      </x:c>
      <x:c r="C19" s="61" t="n">
        <x:v>39</x:v>
      </x:c>
      <x:c r="D19" s="62" t="b">
        <x:v>0</x:v>
      </x:c>
      <x:c r="E19" s="64" t="n">
        <x:v>58.14613355717356</x:v>
      </x:c>
    </x:row>
  </x:sheetData>
  <x:mergeCells>
    <x:mergeCell ref="A1:E1"/>
    <x:mergeCell ref="A2:E2"/>
  </x:mergeCells>
  <x:pageMargins left="0.7" right="0.7" top="0.75" bottom="0.75" header="0.3" footer="0.3"/>
  <x:tableParts count="1">
    <x:tablePart xmlns:r="http://schemas.openxmlformats.org/officeDocument/2006/relationships" r:id="Raa2f1c47509f40f2"/>
  </x:tableParts>
</x:worksheet>
</file>

<file path=xl/worksheets/sheet12.xml><?xml version="1.0" encoding="utf-8"?>
<x:worksheet xmlns:x="http://schemas.openxmlformats.org/spreadsheetml/2006/main">
  <x:sheetPr>
    <x:tabColor rgb="FF2F6B5E"/>
  </x:sheetPr>
  <x:sheetViews>
    <x:sheetView showGridLines="0" workbookViewId="0">
      <x:pane ySplit="4" topLeftCell="A5" activePane="bottomLeft" state="frozen"/>
    </x:sheetView>
  </x:sheetViews>
  <x:sheetFormatPr defaultColWidth="8.6796875" defaultRowHeight="15"/>
  <x:cols>
    <x:col min="1" max="1" width="13" style="1" hidden="0" customWidth="1"/>
    <x:col min="2" max="4" width="24" style="1" hidden="0" customWidth="1"/>
  </x:cols>
  <x:sheetData>
    <x:row r="1" ht="31.5" hidden="0" customHeight="1">
      <x:c r="A1" s="9" t="s">
        <x:v>60</x:v>
      </x:c>
      <x:c r="B1" s="9"/>
      <x:c r="C1" s="9"/>
      <x:c r="D1" s="9"/>
    </x:row>
    <x:row r="2" ht="33.75" hidden="0" customHeight="1">
      <x:c r="A2" s="10" t="s">
        <x:v>61</x:v>
      </x:c>
      <x:c r="B2" s="10"/>
      <x:c r="C2" s="10"/>
      <x:c r="D2" s="10"/>
    </x:row>
    <x:row r="4" ht="30" hidden="0" customHeight="1">
      <x:c r="A4" s="32" t="str">
        <x:v>Quarter</x:v>
      </x:c>
      <x:c r="B4" s="32" t="str">
        <x:v>Effective federal funds rate</x:v>
      </x:c>
      <x:c r="C4" s="32" t="str">
        <x:v>10-year Treasury yield</x:v>
      </x:c>
      <x:c r="D4" s="32" t="str">
        <x:v>Fed funds change from 2021Q4 (pp)</x:v>
      </x:c>
    </x:row>
    <x:row r="5" ht="15" hidden="0">
      <x:c r="A5" s="13" t="str">
        <x:v>2021Q1</x:v>
      </x:c>
      <x:c r="B5" s="125" t="n">
        <x:v>0.00077</x:v>
      </x:c>
      <x:c r="C5" s="125" t="n">
        <x:v>0.01336</x:v>
      </x:c>
      <x:c r="D5" s="126" t="n">
        <x:v>-0.002</x:v>
      </x:c>
    </x:row>
    <x:row r="6" ht="15" hidden="0">
      <x:c r="A6" s="13" t="str">
        <x:v>2021Q2</x:v>
      </x:c>
      <x:c r="B6" s="125" t="n">
        <x:v>0.00068</x:v>
      </x:c>
      <x:c r="C6" s="125" t="n">
        <x:v>0.01591</x:v>
      </x:c>
      <x:c r="D6" s="126" t="n">
        <x:v>-0.011</x:v>
      </x:c>
    </x:row>
    <x:row r="7" ht="15" hidden="0">
      <x:c r="A7" s="13" t="str">
        <x:v>2021Q3</x:v>
      </x:c>
      <x:c r="B7" s="125" t="n">
        <x:v>0.0009</x:v>
      </x:c>
      <x:c r="C7" s="125" t="n">
        <x:v>0.01325</x:v>
      </x:c>
      <x:c r="D7" s="126" t="n">
        <x:v>0.011</x:v>
      </x:c>
    </x:row>
    <x:row r="8" ht="15" hidden="0">
      <x:c r="A8" s="13" t="str">
        <x:v>2021Q4</x:v>
      </x:c>
      <x:c r="B8" s="125" t="n">
        <x:v>0.00079</x:v>
      </x:c>
      <x:c r="C8" s="125" t="n">
        <x:v>0.01533</x:v>
      </x:c>
      <x:c r="D8" s="126" t="n">
        <x:v>0</x:v>
      </x:c>
    </x:row>
    <x:row r="9" ht="15" hidden="0">
      <x:c r="A9" s="13" t="str">
        <x:v>2022Q1</x:v>
      </x:c>
      <x:c r="B9" s="125" t="n">
        <x:v>0.00121</x:v>
      </x:c>
      <x:c r="C9" s="125" t="n">
        <x:v>0.01951</x:v>
      </x:c>
      <x:c r="D9" s="126" t="n">
        <x:v>0.042</x:v>
      </x:c>
    </x:row>
    <x:row r="10" ht="15" hidden="0">
      <x:c r="A10" s="13" t="str">
        <x:v>2022Q2</x:v>
      </x:c>
      <x:c r="B10" s="125" t="n">
        <x:v>0.00767</x:v>
      </x:c>
      <x:c r="C10" s="125" t="n">
        <x:v>0.02933</x:v>
      </x:c>
      <x:c r="D10" s="126" t="n">
        <x:v>0.688</x:v>
      </x:c>
    </x:row>
    <x:row r="11" ht="15" hidden="0">
      <x:c r="A11" s="13" t="str">
        <x:v>2022Q3</x:v>
      </x:c>
      <x:c r="B11" s="125" t="n">
        <x:v>0.02183</x:v>
      </x:c>
      <x:c r="C11" s="125" t="n">
        <x:v>0.03101</x:v>
      </x:c>
      <x:c r="D11" s="126" t="n">
        <x:v>2.104</x:v>
      </x:c>
    </x:row>
    <x:row r="12" ht="15" hidden="0">
      <x:c r="A12" s="13" t="str">
        <x:v>2022Q4</x:v>
      </x:c>
      <x:c r="B12" s="125" t="n">
        <x:v>0.03653</x:v>
      </x:c>
      <x:c r="C12" s="125" t="n">
        <x:v>0.03827</x:v>
      </x:c>
      <x:c r="D12" s="126" t="n">
        <x:v>3.574</x:v>
      </x:c>
    </x:row>
    <x:row r="13" ht="15" hidden="0">
      <x:c r="A13" s="13" t="str">
        <x:v>2023Q1</x:v>
      </x:c>
      <x:c r="B13" s="125" t="n">
        <x:v>0.045149999999999996</x:v>
      </x:c>
      <x:c r="C13" s="125" t="n">
        <x:v>0.03646</x:v>
      </x:c>
      <x:c r="D13" s="126" t="n">
        <x:v>4.436</x:v>
      </x:c>
    </x:row>
    <x:row r="14" ht="15" hidden="0">
      <x:c r="A14" s="13" t="str">
        <x:v>2023Q2</x:v>
      </x:c>
      <x:c r="B14" s="125" t="n">
        <x:v>0.04988000000000001</x:v>
      </x:c>
      <x:c r="C14" s="125" t="n">
        <x:v>0.03596</x:v>
      </x:c>
      <x:c r="D14" s="126" t="n">
        <x:v>4.909</x:v>
      </x:c>
    </x:row>
    <x:row r="15" ht="15" hidden="0">
      <x:c r="A15" s="13" t="str">
        <x:v>2023Q3</x:v>
      </x:c>
      <x:c r="B15" s="125" t="n">
        <x:v>0.052590000000000005</x:v>
      </x:c>
      <x:c r="C15" s="125" t="n">
        <x:v>0.0415</x:v>
      </x:c>
      <x:c r="D15" s="126" t="n">
        <x:v>5.18</x:v>
      </x:c>
    </x:row>
    <x:row r="16" ht="15" hidden="0">
      <x:c r="A16" s="13" t="str">
        <x:v>2023Q4</x:v>
      </x:c>
      <x:c r="B16" s="125" t="n">
        <x:v>0.0533</x:v>
      </x:c>
      <x:c r="C16" s="125" t="n">
        <x:v>0.04447</x:v>
      </x:c>
      <x:c r="D16" s="126" t="n">
        <x:v>5.251</x:v>
      </x:c>
    </x:row>
  </x:sheetData>
  <x:mergeCells>
    <x:mergeCell ref="A1:D1"/>
    <x:mergeCell ref="A2:D2"/>
  </x:mergeCells>
  <x:pageMargins left="0.7" right="0.7" top="0.75" bottom="0.75" header="0.3" footer="0.3"/>
  <x:drawing xmlns:r="http://schemas.openxmlformats.org/officeDocument/2006/relationships" r:id="Rf68da80d99f948d4"/>
  <x:tableParts count="1">
    <x:tablePart xmlns:r="http://schemas.openxmlformats.org/officeDocument/2006/relationships" r:id="R838a9142de304e99"/>
  </x:tableParts>
</x:worksheet>
</file>

<file path=xl/worksheets/sheet1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ColWidth="8.6796875" defaultRowHeight="15"/>
  <x:cols>
    <x:col min="1" max="1" width="18" style="1" hidden="0" customWidth="1"/>
    <x:col min="2" max="2" width="30" style="1" hidden="0" customWidth="1"/>
    <x:col min="3" max="3" width="52" style="1" hidden="0" customWidth="1"/>
    <x:col min="4" max="4" width="54" style="1" hidden="0" customWidth="1"/>
  </x:cols>
  <x:sheetData>
    <x:row r="1" ht="31.5" hidden="0" customHeight="1">
      <x:c r="A1" s="9" t="s">
        <x:v>62</x:v>
      </x:c>
      <x:c r="B1" s="9"/>
      <x:c r="C1" s="9"/>
      <x:c r="D1" s="9"/>
    </x:row>
    <x:row r="2" ht="33.75" hidden="0" customHeight="1">
      <x:c r="A2" s="10" t="s">
        <x:v>63</x:v>
      </x:c>
      <x:c r="B2" s="10"/>
      <x:c r="C2" s="10"/>
      <x:c r="D2" s="10"/>
    </x:row>
    <x:row r="4" ht="30" hidden="0" customHeight="1">
      <x:c r="A4" s="32" t="s">
        <x:v>64</x:v>
      </x:c>
      <x:c r="B4" s="32" t="s">
        <x:v>65</x:v>
      </x:c>
      <x:c r="C4" s="32" t="s">
        <x:v>66</x:v>
      </x:c>
      <x:c r="D4" s="32" t="s">
        <x:v>67</x:v>
      </x:c>
    </x:row>
    <x:row r="5" ht="42" hidden="0" customHeight="1">
      <x:c r="A5" s="39" t="s">
        <x:v>68</x:v>
      </x:c>
      <x:c r="B5" s="39" t="s">
        <x:v>69</x:v>
      </x:c>
      <x:c r="C5" s="39" t="s">
        <x:v>70</x:v>
      </x:c>
      <x:c r="D5" s="39" t="s">
        <x:v>71</x:v>
      </x:c>
    </x:row>
    <x:row r="6" ht="42" hidden="0" customHeight="1">
      <x:c r="A6" s="39" t="s">
        <x:v>68</x:v>
      </x:c>
      <x:c r="B6" s="39" t="s">
        <x:v>72</x:v>
      </x:c>
      <x:c r="C6" s="39" t="s">
        <x:v>73</x:v>
      </x:c>
      <x:c r="D6" s="39" t="s">
        <x:v>74</x:v>
      </x:c>
    </x:row>
    <x:row r="7" ht="42" hidden="0" customHeight="1">
      <x:c r="A7" s="39" t="s">
        <x:v>75</x:v>
      </x:c>
      <x:c r="B7" s="39" t="s">
        <x:v>76</x:v>
      </x:c>
      <x:c r="C7" s="39" t="s">
        <x:v>77</x:v>
      </x:c>
      <x:c r="D7" s="39" t="s">
        <x:v>78</x:v>
      </x:c>
    </x:row>
    <x:row r="8" ht="42" hidden="0" customHeight="1">
      <x:c r="A8" s="39" t="s">
        <x:v>75</x:v>
      </x:c>
      <x:c r="B8" s="39" t="s">
        <x:v>79</x:v>
      </x:c>
      <x:c r="C8" s="39" t="s">
        <x:v>80</x:v>
      </x:c>
      <x:c r="D8" s="39" t="s">
        <x:v>81</x:v>
      </x:c>
    </x:row>
    <x:row r="9" ht="42" hidden="0" customHeight="1">
      <x:c r="A9" s="39" t="s">
        <x:v>82</x:v>
      </x:c>
      <x:c r="B9" s="39" t="s">
        <x:v>83</x:v>
      </x:c>
      <x:c r="C9" s="39" t="s">
        <x:v>84</x:v>
      </x:c>
      <x:c r="D9" s="39" t="s">
        <x:v>85</x:v>
      </x:c>
    </x:row>
    <x:row r="10" ht="42" hidden="0" customHeight="1">
      <x:c r="A10" s="39" t="s">
        <x:v>82</x:v>
      </x:c>
      <x:c r="B10" s="39" t="s">
        <x:v>86</x:v>
      </x:c>
      <x:c r="C10" s="39" t="s">
        <x:v>87</x:v>
      </x:c>
      <x:c r="D10" s="39" t="s">
        <x:v>88</x:v>
      </x:c>
    </x:row>
    <x:row r="11" ht="42" hidden="0" customHeight="1">
      <x:c r="A11" s="39" t="s">
        <x:v>89</x:v>
      </x:c>
      <x:c r="B11" s="39" t="s">
        <x:v>90</x:v>
      </x:c>
      <x:c r="C11" s="39" t="s">
        <x:v>91</x:v>
      </x:c>
      <x:c r="D11" s="39" t="s">
        <x:v>92</x:v>
      </x:c>
    </x:row>
    <x:row r="12" ht="42" hidden="0" customHeight="1">
      <x:c r="A12" s="39" t="s">
        <x:v>93</x:v>
      </x:c>
      <x:c r="B12" s="39" t="s">
        <x:v>94</x:v>
      </x:c>
      <x:c r="C12" s="39" t="s">
        <x:v>95</x:v>
      </x:c>
      <x:c r="D12" s="39" t="s">
        <x:v>96</x:v>
      </x:c>
    </x:row>
    <x:row r="13" ht="42" hidden="0" customHeight="1">
      <x:c r="A13" s="39" t="s">
        <x:v>97</x:v>
      </x:c>
      <x:c r="B13" s="39" t="s">
        <x:v>98</x:v>
      </x:c>
      <x:c r="C13" s="39" t="s">
        <x:v>99</x:v>
      </x:c>
      <x:c r="D13" s="39" t="s">
        <x:v>100</x:v>
      </x:c>
    </x:row>
    <x:row r="14" ht="24" hidden="0" customHeight="1">
      <x:c r="A14" s="39" t="s">
        <x:v>101</x:v>
      </x:c>
      <x:c r="B14" s="39" t="s">
        <x:v>102</x:v>
      </x:c>
      <x:c r="C14" s="39" t="s">
        <x:v>103</x:v>
      </x:c>
      <x:c r="D14" s="134" t="str">
        <x:v>In-sample hypothesis frozen as version 1.0.1 before locked-specification historical and prospective testing.</x:v>
      </x:c>
    </x:row>
    <x:row r="17" ht="15" hidden="0">
      <x:c r="A17" s="11" t="s">
        <x:v>104</x:v>
      </x:c>
      <x:c r="B17" s="11"/>
      <x:c r="C17" s="11"/>
      <x:c r="D17" s="11"/>
    </x:row>
    <x:row r="18" ht="33.75" hidden="0" customHeight="1">
      <x:c r="A18" s="13" t="n">
        <x:v>1</x:v>
      </x:c>
      <x:c r="B18" s="39" t="s">
        <x:v>105</x:v>
      </x:c>
      <x:c r="C18" s="39"/>
      <x:c r="D18" s="39"/>
    </x:row>
    <x:row r="19" ht="33.75" hidden="0" customHeight="1">
      <x:c r="A19" s="13" t="n">
        <x:v>2</x:v>
      </x:c>
      <x:c r="B19" s="39" t="s">
        <x:v>106</x:v>
      </x:c>
      <x:c r="C19" s="39"/>
      <x:c r="D19" s="39"/>
    </x:row>
    <x:row r="20" ht="33.75" hidden="0" customHeight="1">
      <x:c r="A20" s="13" t="n">
        <x:v>3</x:v>
      </x:c>
      <x:c r="B20" s="39" t="s">
        <x:v>107</x:v>
      </x:c>
      <x:c r="C20" s="39"/>
      <x:c r="D20" s="39"/>
    </x:row>
    <x:row r="21" ht="33.75" hidden="0" customHeight="1">
      <x:c r="A21" s="13" t="n">
        <x:v>4</x:v>
      </x:c>
      <x:c r="B21" s="39" t="s">
        <x:v>108</x:v>
      </x:c>
      <x:c r="C21" s="39"/>
      <x:c r="D21" s="39"/>
    </x:row>
    <x:row r="22" ht="33.75" hidden="0" customHeight="1">
      <x:c r="A22" s="13" t="n">
        <x:v>5</x:v>
      </x:c>
      <x:c r="B22" s="39" t="s">
        <x:v>109</x:v>
      </x:c>
      <x:c r="C22" s="39"/>
      <x:c r="D22" s="39"/>
    </x:row>
    <x:row r="23" ht="33.75" hidden="0" customHeight="1">
      <x:c r="A23" s="13" t="n">
        <x:v>6</x:v>
      </x:c>
      <x:c r="B23" s="39" t="s">
        <x:v>110</x:v>
      </x:c>
      <x:c r="C23" s="39"/>
      <x:c r="D23" s="39"/>
    </x:row>
    <x:row r="24" ht="36" customHeight="1">
      <x:c r="A24" s="92" t="n">
        <x:v>7</x:v>
      </x:c>
      <x:c r="B24" s="122" t="str">
        <x:v>The trigger score did not outperform uninsured-deposit concentration in the 2023 episode and 12 of 15 top-decile flags were nonfailures.</x:v>
      </x:c>
      <x:c r="C24" s="122"/>
      <x:c r="D24" s="122"/>
    </x:row>
  </x:sheetData>
  <x:mergeCells>
    <x:mergeCell ref="A1:D1"/>
    <x:mergeCell ref="A2:D2"/>
    <x:mergeCell ref="A17:D17"/>
    <x:mergeCell ref="B18:D18"/>
    <x:mergeCell ref="B19:D19"/>
    <x:mergeCell ref="B20:D20"/>
    <x:mergeCell ref="B21:D21"/>
    <x:mergeCell ref="B22:D22"/>
    <x:mergeCell ref="B23:D23"/>
    <x:mergeCell ref="B24:D24"/>
  </x:mergeCells>
  <x:pageMargins left="0.7" right="0.7" top="0.75" bottom="0.75" header="0.3" footer="0.3"/>
</x:worksheet>
</file>

<file path=xl/worksheets/sheet14.xml><?xml version="1.0" encoding="utf-8"?>
<x:worksheet xmlns:x="http://schemas.openxmlformats.org/spreadsheetml/2006/main">
  <x:sheetPr>
    <x:tabColor rgb="FF666666"/>
  </x:sheetPr>
  <x:sheetViews>
    <x:sheetView showGridLines="0" workbookViewId="0">
      <x:pane ySplit="4" topLeftCell="A5" activePane="bottomLeft" state="frozen"/>
    </x:sheetView>
  </x:sheetViews>
  <x:sheetFormatPr defaultColWidth="8.6796875" defaultRowHeight="15"/>
  <x:cols>
    <x:col min="1" max="2" width="28" style="1" hidden="0" customWidth="1"/>
    <x:col min="3" max="3" width="62" style="1" hidden="0" customWidth="1"/>
    <x:col min="4" max="4" width="46" style="1" hidden="0" customWidth="1"/>
  </x:cols>
  <x:sheetData>
    <x:row r="1" ht="31.5" hidden="0" customHeight="1">
      <x:c r="A1" s="9" t="s">
        <x:v>111</x:v>
      </x:c>
      <x:c r="B1" s="9"/>
      <x:c r="C1" s="9"/>
      <x:c r="D1" s="9"/>
    </x:row>
    <x:row r="2" ht="33.75" hidden="0" customHeight="1">
      <x:c r="A2" s="10" t="s">
        <x:v>112</x:v>
      </x:c>
      <x:c r="B2" s="10"/>
      <x:c r="C2" s="10"/>
      <x:c r="D2" s="10"/>
    </x:row>
    <x:row r="4" ht="34" hidden="0" customHeight="1">
      <x:c r="A4" s="52" t="str">
        <x:v>Source</x:v>
      </x:c>
      <x:c r="B4" s="53" t="str">
        <x:v>Use</x:v>
      </x:c>
      <x:c r="C4" s="53" t="str">
        <x:v>URL / relative path</x:v>
      </x:c>
      <x:c r="D4" s="54" t="str">
        <x:v>Access note</x:v>
      </x:c>
    </x:row>
    <x:row r="5" ht="38" hidden="0" customHeight="1">
      <x:c r="A5" s="123" t="str">
        <x:v>FDIC BankFind Financials API</x:v>
      </x:c>
      <x:c r="B5" s="123" t="str">
        <x:v>2022Q4 bank financial fields</x:v>
      </x:c>
      <x:c r="C5" s="123" t="str">
        <x:v>https://api.fdic.gov/banks/docs/</x:v>
      </x:c>
      <x:c r="D5" s="123" t="str">
        <x:v>The raw response is preserved. The code applies the asset filter locally before scoring.</x:v>
      </x:c>
    </x:row>
    <x:row r="6" ht="38" hidden="0" customHeight="1">
      <x:c r="A6" s="123" t="str">
        <x:v>FDIC BankFind Failures API</x:v>
      </x:c>
      <x:c r="B6" s="123" t="str">
        <x:v>2023 failure outcomes</x:v>
      </x:c>
      <x:c r="C6" s="123" t="str">
        <x:v>https://api.fdic.gov/banks/docs/</x:v>
      </x:c>
      <x:c r="D6" s="123" t="str">
        <x:v>Five failures in 2023; three were in the selected asset band.</x:v>
      </x:c>
    </x:row>
    <x:row r="7" ht="38" hidden="0" customHeight="1">
      <x:c r="A7" s="123" t="str">
        <x:v>FFIEC Call Report bulk download</x:v>
      </x:c>
      <x:c r="B7" s="123" t="str">
        <x:v>Primary regulatory-data reference</x:v>
      </x:c>
      <x:c r="C7" s="123" t="str">
        <x:v>https://cdr.ffiec.gov/public/pws/downloadbulkdata.aspx</x:v>
      </x:c>
      <x:c r="D7" s="123" t="str">
        <x:v>Use for later panel expansion and field-level reconciliation.</x:v>
      </x:c>
    </x:row>
    <x:row r="8" ht="38" hidden="0" customHeight="1">
      <x:c r="A8" s="123" t="str">
        <x:v>FRED DFF</x:v>
      </x:c>
      <x:c r="B8" s="123" t="str">
        <x:v>Effective federal funds rate</x:v>
      </x:c>
      <x:c r="C8" s="123" t="str">
        <x:v>https://fred.stlouisfed.org/series/DFF</x:v>
      </x:c>
      <x:c r="D8" s="123" t="str">
        <x:v>Daily observations averaged by quarter.</x:v>
      </x:c>
    </x:row>
    <x:row r="9" ht="38" hidden="0" customHeight="1">
      <x:c r="A9" s="123" t="str">
        <x:v>FRED DGS10</x:v>
      </x:c>
      <x:c r="B9" s="123" t="str">
        <x:v>10-year Treasury yield</x:v>
      </x:c>
      <x:c r="C9" s="123" t="str">
        <x:v>https://fred.stlouisfed.org/series/DGS10</x:v>
      </x:c>
      <x:c r="D9" s="123" t="str">
        <x:v>Daily observations averaged by quarter.</x:v>
      </x:c>
    </x:row>
    <x:row r="10" ht="38" hidden="0" customHeight="1">
      <x:c r="A10" s="123" t="str">
        <x:v>Cached FDIC financials</x:v>
      </x:c>
      <x:c r="B10" s="123" t="str">
        <x:v>Reproducibility</x:v>
      </x:c>
      <x:c r="C10" s="123" t="str">
        <x:v>data/raw/fdic_financials_2022q4.json</x:v>
      </x:c>
      <x:c r="D10" s="123" t="str">
        <x:v>Included with the workbook.</x:v>
      </x:c>
    </x:row>
    <x:row r="11" ht="38" hidden="0" customHeight="1">
      <x:c r="A11" s="123" t="str">
        <x:v>Cached FDIC failures</x:v>
      </x:c>
      <x:c r="B11" s="123" t="str">
        <x:v>Reproducibility</x:v>
      </x:c>
      <x:c r="C11" s="123" t="str">
        <x:v>data/raw/fdic_failures_2023.json</x:v>
      </x:c>
      <x:c r="D11" s="123" t="str">
        <x:v>Included with the workbook.</x:v>
      </x:c>
    </x:row>
    <x:row r="12" ht="38" hidden="0" customHeight="1">
      <x:c r="A12" s="123" t="str">
        <x:v>Cached FRED series</x:v>
      </x:c>
      <x:c r="B12" s="123" t="str">
        <x:v>Macroeconomic context</x:v>
      </x:c>
      <x:c r="C12" s="123" t="str">
        <x:v>data/raw/fred_dff.csv and data/raw/fred_dgs10.csv</x:v>
      </x:c>
      <x:c r="D12" s="123" t="str">
        <x:v>Included with the workbook.</x:v>
      </x:c>
    </x:row>
    <x:row r="13" ht="24" hidden="0" customHeight="1">
      <x:c r="A13" s="123" t="str">
        <x:v>Zenodo version 1.0.1 archive</x:v>
      </x:c>
      <x:c r="B13" s="123" t="str">
        <x:v>Independent timestamp for the frozen specification</x:v>
      </x:c>
      <x:c r="C13" s="123" t="str">
        <x:v>https://doi.org/10.5281/zenodo.23246551</x:v>
      </x:c>
      <x:c r="D13" s="123" t="str">
        <x:v>Published October 8, 2026, before the planned historical and prospective tests.</x:v>
      </x:c>
    </x:row>
    <x:row r="14" ht="38" customHeight="1">
      <x:c r="A14" s="122" t="str">
        <x:v>Checksum manifest</x:v>
      </x:c>
      <x:c r="B14" s="122" t="str">
        <x:v>File integrity</x:v>
      </x:c>
      <x:c r="C14" s="122" t="str">
        <x:v>call_report_v3_support/SHA256SUMS.txt</x:v>
      </x:c>
      <x:c r="D14" s="122" t="str">
        <x:v>Use SHA-256 values to confirm the archived inputs and code are unchanged.</x:v>
      </x:c>
    </x:row>
  </x:sheetData>
  <x:mergeCells>
    <x:mergeCell ref="A1:D1"/>
    <x:mergeCell ref="A2:D2"/>
  </x:mergeCells>
  <x:pageMargins left="0.7" right="0.7" top="0.75" bottom="0.75" header="0.3" footer="0.3"/>
  <x:tableParts count="1">
    <x:tablePart xmlns:r="http://schemas.openxmlformats.org/officeDocument/2006/relationships" r:id="Raa690ddc36ef4727"/>
  </x:tableParts>
</x:worksheet>
</file>